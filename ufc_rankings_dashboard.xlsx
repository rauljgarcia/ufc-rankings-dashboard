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ulgarcia/Documents/Python/projects/UFC_rankings/"/>
    </mc:Choice>
  </mc:AlternateContent>
  <xr:revisionPtr revIDLastSave="0" documentId="13_ncr:1_{1709929C-3847-134A-A657-A7BC4E23A453}" xr6:coauthVersionLast="47" xr6:coauthVersionMax="47" xr10:uidLastSave="{00000000-0000-0000-0000-000000000000}"/>
  <bookViews>
    <workbookView xWindow="-37560" yWindow="0" windowWidth="35860" windowHeight="26800" activeTab="1" xr2:uid="{DCAC3B4B-3BBF-1242-80BB-C0232BA9B040}"/>
  </bookViews>
  <sheets>
    <sheet name="raw_history" sheetId="2" r:id="rId1"/>
    <sheet name="Men_View" sheetId="1" r:id="rId2"/>
    <sheet name="Women_View" sheetId="4" r:id="rId3"/>
  </sheets>
  <definedNames>
    <definedName name="_xlnm._FilterDatabase" localSheetId="0" hidden="1">raw_history!$A$1:$H$196</definedName>
    <definedName name="ExternalData_1" localSheetId="0" hidden="1">raw_history!$A$1:$H$196</definedName>
    <definedName name="_xlnm.Print_Area" localSheetId="1">Men_View!$A$1:$I$40</definedName>
    <definedName name="_xlnm.Print_Area" localSheetId="2">Women_View!$A$1:$G$40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4" l="1" a="1"/>
  <c r="C26" i="4" s="1"/>
  <c r="B26" i="4" a="1"/>
  <c r="B26" i="4" s="1"/>
  <c r="G6" i="4" a="1"/>
  <c r="G6" i="4" s="1"/>
  <c r="F6" i="4" a="1"/>
  <c r="F6" i="4" s="1"/>
  <c r="E6" i="4" a="1"/>
  <c r="E6" i="4" s="1"/>
  <c r="D6" i="4" a="1"/>
  <c r="D6" i="4" s="1"/>
  <c r="B6" i="4" a="1"/>
  <c r="B6" i="4" s="1"/>
  <c r="B5" i="1" a="1"/>
  <c r="B5" i="1" s="1"/>
  <c r="B2" i="4"/>
  <c r="E26" i="4" s="1" a="1"/>
  <c r="E26" i="4" s="1"/>
  <c r="C26" i="1" a="1"/>
  <c r="C26" i="1" s="1"/>
  <c r="B26" i="1" a="1"/>
  <c r="B26" i="1" s="1"/>
  <c r="B25" i="1" a="1"/>
  <c r="B25" i="1" s="1"/>
  <c r="F6" i="1" a="1"/>
  <c r="F6" i="1" s="1"/>
  <c r="F5" i="1" a="1"/>
  <c r="F5" i="1" s="1"/>
  <c r="E6" i="1" a="1"/>
  <c r="E6" i="1" s="1"/>
  <c r="D6" i="1" a="1"/>
  <c r="D6" i="1" s="1"/>
  <c r="B6" i="1" a="1"/>
  <c r="B6" i="1" s="1"/>
  <c r="B2" i="1"/>
  <c r="F5" i="4" l="1" a="1"/>
  <c r="F5" i="4" s="1"/>
  <c r="D5" i="4" a="1"/>
  <c r="D5" i="4" s="1"/>
  <c r="D26" i="4" a="1"/>
  <c r="D26" i="4" s="1"/>
  <c r="B3" i="4"/>
  <c r="C6" i="4" a="1"/>
  <c r="C6" i="4" s="1"/>
  <c r="B5" i="4" a="1"/>
  <c r="B5" i="4" s="1"/>
  <c r="G6" i="1" a="1"/>
  <c r="G6" i="1" s="1"/>
  <c r="D26" i="1" a="1"/>
  <c r="D26" i="1" s="1"/>
  <c r="E26" i="1" a="1"/>
  <c r="E26" i="1" s="1"/>
  <c r="C6" i="1" a="1"/>
  <c r="C6" i="1" s="1"/>
  <c r="F25" i="1" a="1"/>
  <c r="F25" i="1" s="1"/>
  <c r="A3" i="1"/>
  <c r="H5" i="1" a="1"/>
  <c r="H5" i="1" s="1"/>
  <c r="H6" i="1" a="1"/>
  <c r="H6" i="1" s="1"/>
  <c r="D5" i="1" a="1"/>
  <c r="D5" i="1" s="1"/>
  <c r="I6" i="1" a="1"/>
  <c r="I6" i="1" s="1"/>
  <c r="F26" i="1" a="1"/>
  <c r="F26" i="1" s="1"/>
  <c r="G26" i="1" a="1"/>
  <c r="G26" i="1" s="1"/>
  <c r="H25" i="1" a="1"/>
  <c r="H25" i="1" s="1"/>
  <c r="H26" i="1" a="1"/>
  <c r="H26" i="1" s="1"/>
  <c r="D25" i="1" a="1"/>
  <c r="D25" i="1" s="1"/>
  <c r="I26" i="1" a="1"/>
  <c r="I2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904409-FF4C-B249-974E-E8883D7F2314}" keepAlive="1" name="Query - ufc_rankings_history" description="Connection to the 'ufc_rankings_history' query in the workbook." type="5" refreshedVersion="8" background="1" saveData="1">
    <dbPr connection="Provider=Microsoft.Mashup.OleDb.1;Data Source=$Workbook$;Location=ufc_rankings_history;Extended Properties=&quot;&quot;" command="SELECT * FROM [ufc_rankings_histo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<sst xmlns="http://schemas.openxmlformats.org/spreadsheetml/2006/main" count="1013" uniqueCount="392">
  <si>
    <t>snapshot_date</t>
  </si>
  <si>
    <t>ufc_last_updated</t>
  </si>
  <si>
    <t>division</t>
  </si>
  <si>
    <t>champion</t>
  </si>
  <si>
    <t>fighter</t>
  </si>
  <si>
    <t>fighter_url</t>
  </si>
  <si>
    <t>rank</t>
  </si>
  <si>
    <t>rank_change</t>
  </si>
  <si>
    <t>Men's Pound-for-Pound</t>
  </si>
  <si>
    <t>Islam Makhachev</t>
  </si>
  <si>
    <t>https://www.ufc.com/athlete/islam-makhachev</t>
  </si>
  <si>
    <t/>
  </si>
  <si>
    <t>Ilia Topuria</t>
  </si>
  <si>
    <t>https://www.ufc.com/athlete/ilia-topuria</t>
  </si>
  <si>
    <t>Khamzat Chimaev</t>
  </si>
  <si>
    <t>https://www.ufc.com/athlete/khamzat-chimaev</t>
  </si>
  <si>
    <t>Alex Pereira</t>
  </si>
  <si>
    <t>https://www.ufc.com/athlete/alex-pereira</t>
  </si>
  <si>
    <t>Alexander Volkanovski</t>
  </si>
  <si>
    <t>https://www.ufc.com/athlete/alexander-volkanovski</t>
  </si>
  <si>
    <t>Petr Yan</t>
  </si>
  <si>
    <t>https://www.ufc.com/athlete/petr-yan</t>
  </si>
  <si>
    <t>Merab Dvalishvili</t>
  </si>
  <si>
    <t>https://www.ufc.com/athlete/merab-dvalishvili</t>
  </si>
  <si>
    <t>+1</t>
  </si>
  <si>
    <t>Tom Aspinall</t>
  </si>
  <si>
    <t>https://www.ufc.com/athlete/tom-aspinall</t>
  </si>
  <si>
    <t>-1</t>
  </si>
  <si>
    <t>Alexandre Pantoja</t>
  </si>
  <si>
    <t>https://www.ufc.com/athlete/alexandre-pantoja</t>
  </si>
  <si>
    <t>Max Holloway</t>
  </si>
  <si>
    <t>https://www.ufc.com/athlete/max-holloway</t>
  </si>
  <si>
    <t>Dricus Du Plessis</t>
  </si>
  <si>
    <t>https://www.ufc.com/athlete/dricus-du-plessis</t>
  </si>
  <si>
    <t>Joshua Van</t>
  </si>
  <si>
    <t>https://www.ufc.com/athlete/joshua-van</t>
  </si>
  <si>
    <t>Magomed Ankalaev</t>
  </si>
  <si>
    <t>https://www.ufc.com/athlete/magomed-ankalaev</t>
  </si>
  <si>
    <t>Jack Della Maddalena</t>
  </si>
  <si>
    <t>https://www.ufc.com/athlete/jack-della-maddalena</t>
  </si>
  <si>
    <t>Arman Tsarukyan</t>
  </si>
  <si>
    <t>https://www.ufc.com/athlete/arman-tsarukyan</t>
  </si>
  <si>
    <t>Flyweight</t>
  </si>
  <si>
    <t>Manel Kape</t>
  </si>
  <si>
    <t>https://www.ufc.com/athlete/manel-kape</t>
  </si>
  <si>
    <t>+4</t>
  </si>
  <si>
    <t>Tatsuro Taira</t>
  </si>
  <si>
    <t>https://www.ufc.com/athlete/tatsuro-taira</t>
  </si>
  <si>
    <t>Brandon Royval</t>
  </si>
  <si>
    <t>https://www.ufc.com/athlete/brandon-royval</t>
  </si>
  <si>
    <t>-2</t>
  </si>
  <si>
    <t>Brandon Moreno</t>
  </si>
  <si>
    <t>https://www.ufc.com/athlete/brandon-moreno</t>
  </si>
  <si>
    <t>Amir Albazi</t>
  </si>
  <si>
    <t>https://www.ufc.com/athlete/amir-albazi</t>
  </si>
  <si>
    <t>Asu Almabayev</t>
  </si>
  <si>
    <t>https://www.ufc.com/athlete/assu-almabayev</t>
  </si>
  <si>
    <t>Kyoji Horiguchi</t>
  </si>
  <si>
    <t>https://www.ufc.com/athlete/kyoji-horiguchi</t>
  </si>
  <si>
    <t>Tim Elliott</t>
  </si>
  <si>
    <t>https://www.ufc.com/athlete/tim-elliott</t>
  </si>
  <si>
    <t>Steve Erceg</t>
  </si>
  <si>
    <t>https://www.ufc.com/athlete/steve-erceg</t>
  </si>
  <si>
    <t>Alex Perez</t>
  </si>
  <si>
    <t>https://www.ufc.com/athlete/alex-perez</t>
  </si>
  <si>
    <t>Tagir Ulanbekov</t>
  </si>
  <si>
    <t>https://www.ufc.com/athlete/tagir-ulanbekov</t>
  </si>
  <si>
    <t>Charles Johnson</t>
  </si>
  <si>
    <t>https://www.ufc.com/athlete/charles-johnson</t>
  </si>
  <si>
    <t>Bruno Silva</t>
  </si>
  <si>
    <t>https://www.ufc.com/athlete/bruno-silva</t>
  </si>
  <si>
    <t>Lone’er Kavanagh</t>
  </si>
  <si>
    <t>https://www.ufc.com/athlete/loneer-kavanagh</t>
  </si>
  <si>
    <t>Bantamweight</t>
  </si>
  <si>
    <t>Umar Nurmagomedov</t>
  </si>
  <si>
    <t>https://www.ufc.com/athlete/umar-nurmagomedov</t>
  </si>
  <si>
    <t>Sean O'Malley</t>
  </si>
  <si>
    <t>https://www.ufc.com/athlete/sean-omalley</t>
  </si>
  <si>
    <t>Cory Sandhagen</t>
  </si>
  <si>
    <t>https://www.ufc.com/athlete/cory-sandhagen</t>
  </si>
  <si>
    <t>Song Yadong</t>
  </si>
  <si>
    <t>https://www.ufc.com/athlete/yadong-song</t>
  </si>
  <si>
    <t>Deiveson Figueiredo</t>
  </si>
  <si>
    <t>https://www.ufc.com/athlete/deiveson-figueiredo</t>
  </si>
  <si>
    <t>Aiemann Zahabi</t>
  </si>
  <si>
    <t>https://www.ufc.com/athlete/aiemann-zahabi</t>
  </si>
  <si>
    <t>Marlon Vera</t>
  </si>
  <si>
    <t>https://www.ufc.com/athlete/marlon-vera</t>
  </si>
  <si>
    <t>Mario Bautista</t>
  </si>
  <si>
    <t>https://www.ufc.com/athlete/mario-bautista</t>
  </si>
  <si>
    <t>David Martinez</t>
  </si>
  <si>
    <t>https://www.ufc.com/athlete/david-martinez</t>
  </si>
  <si>
    <t>Payton Talbott</t>
  </si>
  <si>
    <t>https://www.ufc.com/athlete/payton-talbott</t>
  </si>
  <si>
    <t>Rob Font</t>
  </si>
  <si>
    <t>https://www.ufc.com/athlete/rob-font</t>
  </si>
  <si>
    <t>Vinicius Oliveira</t>
  </si>
  <si>
    <t>https://www.ufc.com/athlete/vinicius-oliveira</t>
  </si>
  <si>
    <t>Kyler Phillips</t>
  </si>
  <si>
    <t>https://www.ufc.com/athlete/kyler-phillips</t>
  </si>
  <si>
    <t>Montel Jackson</t>
  </si>
  <si>
    <t>https://www.ufc.com/athlete/montel-jackson</t>
  </si>
  <si>
    <t>NR</t>
  </si>
  <si>
    <t>Featherweight</t>
  </si>
  <si>
    <t>Movsar Evloev</t>
  </si>
  <si>
    <t>https://www.ufc.com/athlete/movsar-evloev</t>
  </si>
  <si>
    <t>Diego Lopes</t>
  </si>
  <si>
    <t>https://www.ufc.com/athlete/diego-lopes</t>
  </si>
  <si>
    <t>Yair Rodriguez</t>
  </si>
  <si>
    <t>https://www.ufc.com/athlete/yair-rodriguez</t>
  </si>
  <si>
    <t>Lerone Murphy</t>
  </si>
  <si>
    <t>https://www.ufc.com/athlete/lerone-murphy</t>
  </si>
  <si>
    <t>Aljamain Sterling</t>
  </si>
  <si>
    <t>https://www.ufc.com/athlete/aljamain-sterling</t>
  </si>
  <si>
    <t>Arnold Allen</t>
  </si>
  <si>
    <t>https://www.ufc.com/athlete/arnold-allen</t>
  </si>
  <si>
    <t>Youssef Zalal</t>
  </si>
  <si>
    <t>https://www.ufc.com/athlete/youssef-zalal</t>
  </si>
  <si>
    <t>Steve Garcia</t>
  </si>
  <si>
    <t>https://www.ufc.com/athlete/steve-garcia</t>
  </si>
  <si>
    <t>Brian Ortega</t>
  </si>
  <si>
    <t>https://www.ufc.com/athlete/brian-ortega</t>
  </si>
  <si>
    <t>Jean Silva</t>
  </si>
  <si>
    <t>https://www.ufc.com/athlete/jean-silva</t>
  </si>
  <si>
    <t>Josh Emmett</t>
  </si>
  <si>
    <t>https://www.ufc.com/athlete/josh-emmett</t>
  </si>
  <si>
    <t>Patricio Pitbull</t>
  </si>
  <si>
    <t>https://www.ufc.com/athlete/patricio-pitbull-freire</t>
  </si>
  <si>
    <t>Kevin Vallejos</t>
  </si>
  <si>
    <t>https://www.ufc.com/athlete/kevin-vallejos</t>
  </si>
  <si>
    <t>Dan Ige</t>
  </si>
  <si>
    <t>https://www.ufc.com/athlete/dan-ige</t>
  </si>
  <si>
    <t>David Onama</t>
  </si>
  <si>
    <t>https://www.ufc.com/athlete/david-onama</t>
  </si>
  <si>
    <t>Lightweight</t>
  </si>
  <si>
    <t>Charles Oliveira</t>
  </si>
  <si>
    <t>https://www.ufc.com/athlete/charles-oliveira</t>
  </si>
  <si>
    <t>Justin Gaethje</t>
  </si>
  <si>
    <t>https://www.ufc.com/athlete/justin-gaethje</t>
  </si>
  <si>
    <t>Paddy Pimblett</t>
  </si>
  <si>
    <t>https://www.ufc.com/athlete/paddy-pimblett</t>
  </si>
  <si>
    <t>Dan Hooker</t>
  </si>
  <si>
    <t>https://www.ufc.com/athlete/dan-hooker</t>
  </si>
  <si>
    <t>Mateusz Gamrot</t>
  </si>
  <si>
    <t>https://www.ufc.com/athlete/mateusz-gamrot</t>
  </si>
  <si>
    <t>Benoît Saint Denis</t>
  </si>
  <si>
    <t>https://www.ufc.com/athlete/benoit-saint-denis</t>
  </si>
  <si>
    <t>Rafael Fiziev</t>
  </si>
  <si>
    <t>https://www.ufc.com/athlete/rafael-fiziev</t>
  </si>
  <si>
    <t>Renato Moicano</t>
  </si>
  <si>
    <t>https://www.ufc.com/athlete/renato-moicano</t>
  </si>
  <si>
    <t>Beneil Dariush</t>
  </si>
  <si>
    <t>https://www.ufc.com/athlete/beneil-dariush</t>
  </si>
  <si>
    <t>Michael Chandler</t>
  </si>
  <si>
    <t>https://www.ufc.com/athlete/michael-chandler</t>
  </si>
  <si>
    <t>Manuel Torres</t>
  </si>
  <si>
    <t>https://www.ufc.com/athlete/manuel-torres</t>
  </si>
  <si>
    <t>Mauricio Ruffy</t>
  </si>
  <si>
    <t>https://www.ufc.com/athlete/mauricio-ruffy</t>
  </si>
  <si>
    <t>Farès Ziam</t>
  </si>
  <si>
    <t>https://www.ufc.com/athlete/fares-ziam</t>
  </si>
  <si>
    <t>Welterweight</t>
  </si>
  <si>
    <t>Shavkat Rakhmonov</t>
  </si>
  <si>
    <t>https://www.ufc.com/athlete/shavkat-rakhmonov</t>
  </si>
  <si>
    <t>Ian Machado Garry</t>
  </si>
  <si>
    <t>https://www.ufc.com/athlete/ian-garry</t>
  </si>
  <si>
    <t>Michael Morales</t>
  </si>
  <si>
    <t>https://www.ufc.com/athlete/michael-morales</t>
  </si>
  <si>
    <t>Belal Muhammad</t>
  </si>
  <si>
    <t>https://www.ufc.com/athlete/belal-muhammad</t>
  </si>
  <si>
    <t>Carlos Prates</t>
  </si>
  <si>
    <t>https://www.ufc.com/athlete/carlos-prates</t>
  </si>
  <si>
    <t>Sean Brady</t>
  </si>
  <si>
    <t>https://www.ufc.com/athlete/sean-brady</t>
  </si>
  <si>
    <t>Kamaru Usman</t>
  </si>
  <si>
    <t>https://www.ufc.com/athlete/kamaru-usman</t>
  </si>
  <si>
    <t>Leon Edwards</t>
  </si>
  <si>
    <t>https://www.ufc.com/athlete/leon-edwards</t>
  </si>
  <si>
    <t>Joaquin Buckley</t>
  </si>
  <si>
    <t>https://www.ufc.com/athlete/joaquin-buckley</t>
  </si>
  <si>
    <t>Gabriel Bonfim</t>
  </si>
  <si>
    <t>https://www.ufc.com/athlete/gabriel-bonfim</t>
  </si>
  <si>
    <t>Gilbert Burns</t>
  </si>
  <si>
    <t>https://www.ufc.com/athlete/gilbert-burns</t>
  </si>
  <si>
    <t>Geoff Neal</t>
  </si>
  <si>
    <t>https://www.ufc.com/athlete/geoff-neal</t>
  </si>
  <si>
    <t>Colby Covington</t>
  </si>
  <si>
    <t>https://www.ufc.com/athlete/colby-covington</t>
  </si>
  <si>
    <t>Daniel Rodriguez</t>
  </si>
  <si>
    <t>https://www.ufc.com/athlete/daniel-rodriguez</t>
  </si>
  <si>
    <t>Middleweight</t>
  </si>
  <si>
    <t>Nassourdine Imavov</t>
  </si>
  <si>
    <t>https://www.ufc.com/athlete/nassourdine-imavov</t>
  </si>
  <si>
    <t>Sean Strickland</t>
  </si>
  <si>
    <t>https://www.ufc.com/athlete/sean-strickland</t>
  </si>
  <si>
    <t>Anthony Hernandez</t>
  </si>
  <si>
    <t>https://www.ufc.com/athlete/anthony-hernandez</t>
  </si>
  <si>
    <t>Brendan Allen</t>
  </si>
  <si>
    <t>https://www.ufc.com/athlete/brendan-allen</t>
  </si>
  <si>
    <t>Israel Adesanya</t>
  </si>
  <si>
    <t>https://www.ufc.com/athlete/israel-adesanya</t>
  </si>
  <si>
    <t>Caio Borralho</t>
  </si>
  <si>
    <t>https://www.ufc.com/athlete/caio-borralho</t>
  </si>
  <si>
    <t>Reinier de Ridder</t>
  </si>
  <si>
    <t>https://www.ufc.com/athlete/reinier-de-ridder</t>
  </si>
  <si>
    <t>Robert Whittaker</t>
  </si>
  <si>
    <t>https://www.ufc.com/athlete/robert-whittaker</t>
  </si>
  <si>
    <t>Michael Page</t>
  </si>
  <si>
    <t>https://www.ufc.com/athlete/michael-page</t>
  </si>
  <si>
    <t>Jared Cannonier</t>
  </si>
  <si>
    <t>https://www.ufc.com/athlete/jared-cannonier</t>
  </si>
  <si>
    <t>Roman Dolidze</t>
  </si>
  <si>
    <t>https://www.ufc.com/athlete/roman-dolidze</t>
  </si>
  <si>
    <t>Paulo Costa</t>
  </si>
  <si>
    <t>https://www.ufc.com/athlete/paulo-costa</t>
  </si>
  <si>
    <t>Gregory Rodrigues</t>
  </si>
  <si>
    <t>https://www.ufc.com/athlete/gregory-rodrigues</t>
  </si>
  <si>
    <t>Joe Pyfer</t>
  </si>
  <si>
    <t>https://www.ufc.com/athlete/joe-pyfer</t>
  </si>
  <si>
    <t>Light Heavyweight</t>
  </si>
  <si>
    <t>Jiří Procházka</t>
  </si>
  <si>
    <t>https://www.ufc.com/athlete/jiri-prochazka</t>
  </si>
  <si>
    <t>Carlos Ulberg</t>
  </si>
  <si>
    <t>https://www.ufc.com/athlete/carlos-ulberg</t>
  </si>
  <si>
    <t>Khalil Rountree Jr.</t>
  </si>
  <si>
    <t>https://www.ufc.com/athlete/khalil-rountree-jr</t>
  </si>
  <si>
    <t>Jan Błachowicz</t>
  </si>
  <si>
    <t>https://www.ufc.com/athlete/jan-blachowicz</t>
  </si>
  <si>
    <t>Azamat Murzakanov</t>
  </si>
  <si>
    <t>https://www.ufc.com/athlete/azamat-murzakanov</t>
  </si>
  <si>
    <t>Jamahal Hill</t>
  </si>
  <si>
    <t>https://www.ufc.com/athlete/jamahal-hill</t>
  </si>
  <si>
    <t>Volkan Oezdemir</t>
  </si>
  <si>
    <t>https://www.ufc.com/athlete/volkan-oezdemir</t>
  </si>
  <si>
    <t>Dominick Reyes</t>
  </si>
  <si>
    <t>https://www.ufc.com/athlete/dominick-reyes</t>
  </si>
  <si>
    <t>Bogdan Guskov</t>
  </si>
  <si>
    <t>https://www.ufc.com/athlete/bogdan-guskov</t>
  </si>
  <si>
    <t>Aleksandar Rakić</t>
  </si>
  <si>
    <t>https://www.ufc.com/athlete/aleksandar-rakic</t>
  </si>
  <si>
    <t>Johnny Walker</t>
  </si>
  <si>
    <t>https://www.ufc.com/athlete/johnny-walker</t>
  </si>
  <si>
    <t>Nikita Krylov</t>
  </si>
  <si>
    <t>https://www.ufc.com/athlete/nikita-krylov</t>
  </si>
  <si>
    <t>Zhang Mingyang</t>
  </si>
  <si>
    <t>https://www.ufc.com/athlete/zhang-mingyang</t>
  </si>
  <si>
    <t>Alonzo Menifield</t>
  </si>
  <si>
    <t>https://www.ufc.com/athlete/alonzo-menifield</t>
  </si>
  <si>
    <t>Heavyweight</t>
  </si>
  <si>
    <t>Ciryl Gane</t>
  </si>
  <si>
    <t>https://www.ufc.com/athlete/ciryl-gane</t>
  </si>
  <si>
    <t>Alexander Volkov</t>
  </si>
  <si>
    <t>https://www.ufc.com/athlete/alexander-volkov</t>
  </si>
  <si>
    <t>Sergei Pavlovich</t>
  </si>
  <si>
    <t>https://www.ufc.com/athlete/sergei-pavlovich</t>
  </si>
  <si>
    <t>Curtis Blaydes</t>
  </si>
  <si>
    <t>https://www.ufc.com/athlete/curtis-blaydes</t>
  </si>
  <si>
    <t>Waldo Cortes Acosta</t>
  </si>
  <si>
    <t>https://www.ufc.com/athlete/waldo-cortes-acosta</t>
  </si>
  <si>
    <t>Jailton Almeida</t>
  </si>
  <si>
    <t>https://www.ufc.com/athlete/jailton-almeida</t>
  </si>
  <si>
    <t>Serghei Spivac</t>
  </si>
  <si>
    <t>https://www.ufc.com/athlete/serghei-spivac</t>
  </si>
  <si>
    <t>Derrick Lewis</t>
  </si>
  <si>
    <t>https://www.ufc.com/athlete/derrick-lewis</t>
  </si>
  <si>
    <t>Ante Delija</t>
  </si>
  <si>
    <t>https://www.ufc.com/athlete/ante-delija</t>
  </si>
  <si>
    <t>Marcin Tybura</t>
  </si>
  <si>
    <t>https://www.ufc.com/athlete/marcin-tybura</t>
  </si>
  <si>
    <t>Shamil Gaziev</t>
  </si>
  <si>
    <t>https://www.ufc.com/athlete/shamil-gaziev</t>
  </si>
  <si>
    <t>Tai Tuivasa</t>
  </si>
  <si>
    <t>https://www.ufc.com/athlete/tai-tuivasa</t>
  </si>
  <si>
    <t>Mick Parkin</t>
  </si>
  <si>
    <t>https://www.ufc.com/athlete/mick-parkin</t>
  </si>
  <si>
    <t>Valter Walker</t>
  </si>
  <si>
    <t>https://www.ufc.com/athlete/valter-walker</t>
  </si>
  <si>
    <t>Tallison Teixeira</t>
  </si>
  <si>
    <t>https://www.ufc.com/athlete/tallison-teixeira</t>
  </si>
  <si>
    <t>Women's Pound-for-Pound</t>
  </si>
  <si>
    <t>Valentina Shevchenko</t>
  </si>
  <si>
    <t>https://www.ufc.com/athlete/valentina-shevchenko</t>
  </si>
  <si>
    <t>Kayla Harrison</t>
  </si>
  <si>
    <t>https://www.ufc.com/athlete/kayla-harrison</t>
  </si>
  <si>
    <t>Zhang Weili</t>
  </si>
  <si>
    <t>https://www.ufc.com/athlete/weili-zhang</t>
  </si>
  <si>
    <t>Natalia Silva</t>
  </si>
  <si>
    <t>https://www.ufc.com/athlete/natalia-silva</t>
  </si>
  <si>
    <t>Mackenzie Dern</t>
  </si>
  <si>
    <t>https://www.ufc.com/athlete/mackenzie-dern</t>
  </si>
  <si>
    <t>Manon Fiorot</t>
  </si>
  <si>
    <t>https://www.ufc.com/athlete/manon-fiorot</t>
  </si>
  <si>
    <t>Erin Blanchfield</t>
  </si>
  <si>
    <t>https://www.ufc.com/athlete/erin-blanchfield</t>
  </si>
  <si>
    <t>Julianna Peña</t>
  </si>
  <si>
    <t>https://www.ufc.com/athlete/julianna-pena</t>
  </si>
  <si>
    <t>Alexa Grasso</t>
  </si>
  <si>
    <t>https://www.ufc.com/athlete/alexa-grasso</t>
  </si>
  <si>
    <t>Virna Jandiroba</t>
  </si>
  <si>
    <t>https://www.ufc.com/athlete/virna-jandiroba</t>
  </si>
  <si>
    <t>Raquel Pennington</t>
  </si>
  <si>
    <t>https://www.ufc.com/athlete/raquel-pennington</t>
  </si>
  <si>
    <t>Tatiana Suarez</t>
  </si>
  <si>
    <t>https://www.ufc.com/athlete/tatiana-suarez</t>
  </si>
  <si>
    <t>Rose Namajunas</t>
  </si>
  <si>
    <t>https://www.ufc.com/athlete/rose-namajunas</t>
  </si>
  <si>
    <t>Yan Xiaonan</t>
  </si>
  <si>
    <t>https://www.ufc.com/athlete/xiaonan-yan</t>
  </si>
  <si>
    <t>Maycee Barber</t>
  </si>
  <si>
    <t>https://www.ufc.com/athlete/maycee-barber</t>
  </si>
  <si>
    <t>Women's Strawweight</t>
  </si>
  <si>
    <t>Amanda Lemos</t>
  </si>
  <si>
    <t>https://www.ufc.com/athlete/amanda-lemos</t>
  </si>
  <si>
    <t>Loopy Godinez</t>
  </si>
  <si>
    <t>https://www.ufc.com/athlete/loopy-godinez</t>
  </si>
  <si>
    <t>Iasmin Lucindo</t>
  </si>
  <si>
    <t>https://www.ufc.com/athlete/iasmin-lucindo</t>
  </si>
  <si>
    <t>Tabatha Ricci</t>
  </si>
  <si>
    <t>https://www.ufc.com/athlete/tabatha-ricci</t>
  </si>
  <si>
    <t>Jéssica Andrade</t>
  </si>
  <si>
    <t>https://www.ufc.com/athlete/jessica-andrade</t>
  </si>
  <si>
    <t>Gillian Robertson</t>
  </si>
  <si>
    <t>https://www.ufc.com/athlete/gillian-robertson</t>
  </si>
  <si>
    <t>Amanda Ribas</t>
  </si>
  <si>
    <t>https://www.ufc.com/athlete/amanda-ribas</t>
  </si>
  <si>
    <t>Fatima Kline</t>
  </si>
  <si>
    <t>https://www.ufc.com/athlete/fatima-kline</t>
  </si>
  <si>
    <t>Denise Gomes</t>
  </si>
  <si>
    <t>https://www.ufc.com/athlete/denise-gomes</t>
  </si>
  <si>
    <t>Angela Hill</t>
  </si>
  <si>
    <t>https://www.ufc.com/athlete/angela-hill</t>
  </si>
  <si>
    <t>Alexia Thainara</t>
  </si>
  <si>
    <t>https://www.ufc.com/athlete/alexia-thainara</t>
  </si>
  <si>
    <t>Women's Flyweight</t>
  </si>
  <si>
    <t>Jasmine Jasudavicius</t>
  </si>
  <si>
    <t>https://www.ufc.com/athlete/jasmine-jasudavicius</t>
  </si>
  <si>
    <t>Tracy Cortez</t>
  </si>
  <si>
    <t>https://www.ufc.com/athlete/tracy-cortez</t>
  </si>
  <si>
    <t>Karine Silva</t>
  </si>
  <si>
    <t>https://www.ufc.com/athlete/karine-silva</t>
  </si>
  <si>
    <t>Miranda Maverick</t>
  </si>
  <si>
    <t>https://www.ufc.com/athlete/miranda-maverick</t>
  </si>
  <si>
    <t>Casey O'Neill</t>
  </si>
  <si>
    <t>https://www.ufc.com/athlete/casey-oneill</t>
  </si>
  <si>
    <t>Wang Cong</t>
  </si>
  <si>
    <t>https://www.ufc.com/athlete/wang-cong</t>
  </si>
  <si>
    <t>Eduarda Moura</t>
  </si>
  <si>
    <t>https://www.ufc.com/athlete/eduarda-moura</t>
  </si>
  <si>
    <t>JJ Aldrich</t>
  </si>
  <si>
    <t>https://www.ufc.com/athlete/jj-aldrich</t>
  </si>
  <si>
    <t>Gabriella Fernandes</t>
  </si>
  <si>
    <t>https://www.ufc.com/athlete/gabriella-fernandes</t>
  </si>
  <si>
    <t>Women's Bantamweight</t>
  </si>
  <si>
    <t>Norma Dumont</t>
  </si>
  <si>
    <t>https://www.ufc.com/athlete/norma-dumont</t>
  </si>
  <si>
    <t>Ketlen Vieira</t>
  </si>
  <si>
    <t>https://www.ufc.com/athlete/ketlen-vieira</t>
  </si>
  <si>
    <t>Yana Santos</t>
  </si>
  <si>
    <t>https://www.ufc.com/athlete/yana-santos</t>
  </si>
  <si>
    <t>Irene Aldana</t>
  </si>
  <si>
    <t>https://www.ufc.com/athlete/irene-aldana</t>
  </si>
  <si>
    <t>Macy Chiasson</t>
  </si>
  <si>
    <t>https://www.ufc.com/athlete/macy-chiasson</t>
  </si>
  <si>
    <t>Ailin Perez</t>
  </si>
  <si>
    <t>https://www.ufc.com/athlete/ailin-perez</t>
  </si>
  <si>
    <t>Karol Rosa</t>
  </si>
  <si>
    <t>https://www.ufc.com/athlete/karol-rosa</t>
  </si>
  <si>
    <t>Jacqueline Cavalcanti</t>
  </si>
  <si>
    <t>https://www.ufc.com/athlete/jacqueline-cavalcanti</t>
  </si>
  <si>
    <t>Mayra Bueno Silva</t>
  </si>
  <si>
    <t>https://www.ufc.com/athlete/mayra-bueno-silva</t>
  </si>
  <si>
    <t>Nora Cornolle</t>
  </si>
  <si>
    <t>https://www.ufc.com/athlete/nora-cornolle</t>
  </si>
  <si>
    <t>Miesha Tate</t>
  </si>
  <si>
    <t>https://www.ufc.com/athlete/miesha-tate</t>
  </si>
  <si>
    <t>Joselyne Edwards</t>
  </si>
  <si>
    <t>https://www.ufc.com/athlete/joselyne-edwards</t>
  </si>
  <si>
    <t>Luana Santos</t>
  </si>
  <si>
    <t>https://www.ufc.com/athlete/luana-santos</t>
  </si>
  <si>
    <t>C</t>
  </si>
  <si>
    <t>Fly Wt</t>
  </si>
  <si>
    <t>Bantam Wt</t>
  </si>
  <si>
    <t>Feather Wt</t>
  </si>
  <si>
    <t>Light Wt</t>
  </si>
  <si>
    <t>Welter Wt</t>
  </si>
  <si>
    <t>Middle Wt</t>
  </si>
  <si>
    <t>Lt. Heavy Wt</t>
  </si>
  <si>
    <t>Heavy Wt</t>
  </si>
  <si>
    <t>Straw Wt</t>
  </si>
  <si>
    <t xml:space="preserve">Men </t>
  </si>
  <si>
    <t xml:space="preserve">Women </t>
  </si>
  <si>
    <t>Pound for Pound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</si>
</sst>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/d/yy;@"/>
  </numFmts>
  <fonts count="6" x14ac:knownFonts="1">
    <font>
      <sz val="12"/>
      <color theme="1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6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  <xf numFmtId="169" fontId="0" fillId="0" borderId="0" xfId="0" applyNumberFormat="1" applyAlignment="1">
      <alignment horizontal="center"/>
    </xf>
    <xf numFmtId="0" fontId="0" fillId="0" borderId="7" xfId="0" applyBorder="1"/>
    <xf numFmtId="0" fontId="0" fillId="0" borderId="6" xfId="0" applyBorder="1"/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0" xfId="0" applyBorder="1" applyAlignment="1"/>
    <xf numFmtId="0" fontId="2" fillId="2" borderId="9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69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6" xfId="0" applyFont="1" applyBorder="1" applyAlignment="1">
      <alignment horizontal="left"/>
    </xf>
    <xf numFmtId="0" fontId="5" fillId="0" borderId="16" xfId="0" applyFont="1" applyBorder="1" applyAlignment="1">
      <alignment horizontal="left"/>
    </xf>
    <xf numFmtId="0" fontId="5" fillId="0" borderId="0" xfId="0" applyFont="1" applyBorder="1"/>
    <xf numFmtId="0" fontId="5" fillId="0" borderId="6" xfId="0" applyFont="1" applyBorder="1"/>
    <xf numFmtId="0" fontId="5" fillId="0" borderId="16" xfId="0" applyFont="1" applyBorder="1"/>
    <xf numFmtId="0" fontId="0" fillId="0" borderId="11" xfId="0" applyBorder="1" applyAlignment="1"/>
    <xf numFmtId="0" fontId="2" fillId="2" borderId="0" xfId="0" applyFont="1" applyFill="1" applyBorder="1" applyAlignment="1">
      <alignment horizontal="center"/>
    </xf>
    <xf numFmtId="0" fontId="0" fillId="0" borderId="0" xfId="0" applyBorder="1" applyAlignment="1"/>
    <xf numFmtId="0" fontId="0" fillId="0" borderId="0" xfId="0" applyBorder="1" applyAlignment="1">
      <alignment horizontal="center"/>
    </xf>
    <xf numFmtId="0" fontId="3" fillId="0" borderId="17" xfId="0" applyFont="1" applyBorder="1" applyAlignment="1">
      <alignment horizontal="left"/>
    </xf>
    <xf numFmtId="0" fontId="2" fillId="0" borderId="6" xfId="0" applyFont="1" applyBorder="1" applyAlignment="1"/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6" xfId="0" applyFill="1" applyBorder="1" applyAlignment="1">
      <alignment horizontal="left"/>
    </xf>
    <xf numFmtId="0" fontId="5" fillId="0" borderId="7" xfId="0" applyFont="1" applyBorder="1"/>
    <xf numFmtId="0" fontId="5" fillId="0" borderId="17" xfId="0" applyFont="1" applyBorder="1" applyAlignment="1">
      <alignment horizontal="left"/>
    </xf>
    <xf numFmtId="0" fontId="5" fillId="0" borderId="3" xfId="0" applyFont="1" applyBorder="1"/>
    <xf numFmtId="0" fontId="5" fillId="0" borderId="14" xfId="0" applyFont="1" applyBorder="1"/>
    <xf numFmtId="0" fontId="2" fillId="2" borderId="8" xfId="0" applyFont="1" applyFill="1" applyBorder="1" applyAlignment="1">
      <alignment horizontal="center"/>
    </xf>
    <xf numFmtId="0" fontId="2" fillId="0" borderId="8" xfId="0" applyFont="1" applyBorder="1" applyAlignment="1"/>
    <xf numFmtId="0" fontId="0" fillId="0" borderId="19" xfId="0" applyBorder="1" applyAlignment="1">
      <alignment horizontal="center"/>
    </xf>
    <xf numFmtId="0" fontId="0" fillId="0" borderId="20" xfId="0" applyBorder="1" applyAlignment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/>
    <xf numFmtId="0" fontId="0" fillId="0" borderId="1" xfId="0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25" xfId="0" applyFont="1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26" xfId="0" applyBorder="1" applyAlignment="1"/>
    <xf numFmtId="0" fontId="0" fillId="0" borderId="27" xfId="0" applyBorder="1" applyAlignment="1">
      <alignment horizontal="center"/>
    </xf>
    <xf numFmtId="0" fontId="0" fillId="0" borderId="28" xfId="0" applyBorder="1" applyAlignment="1"/>
    <xf numFmtId="0" fontId="0" fillId="0" borderId="29" xfId="0" applyBorder="1" applyAlignment="1">
      <alignment horizontal="center"/>
    </xf>
    <xf numFmtId="0" fontId="0" fillId="0" borderId="30" xfId="0" applyBorder="1" applyAlignmen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connections" Target="connections.xml"/><Relationship Id="rId10" Type="http://schemas.microsoft.com/office/2017/06/relationships/rdRichValue" Target="richData/rdrichvalue.xml"/><Relationship Id="rId4" Type="http://schemas.openxmlformats.org/officeDocument/2006/relationships/theme" Target="theme/theme1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06E9F3-59E7-274D-80DE-86AE3B1B974E}" autoFormatId="16" applyNumberFormats="0" applyBorderFormats="0" applyFontFormats="0" applyPatternFormats="0" applyAlignmentFormats="0" applyWidthHeightFormats="0">
  <queryTableRefresh nextId="9">
    <queryTableFields count="8">
      <queryTableField id="1" name="snapshot_date" tableColumnId="1"/>
      <queryTableField id="2" name="ufc_last_updated" tableColumnId="2"/>
      <queryTableField id="3" name="division" tableColumnId="3"/>
      <queryTableField id="4" name="champion" tableColumnId="4"/>
      <queryTableField id="5" name="fighter" tableColumnId="5"/>
      <queryTableField id="6" name="fighter_url" tableColumnId="6"/>
      <queryTableField id="7" name="rank" tableColumnId="7"/>
      <queryTableField id="8" name="rank_change" tableColumnId="8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49BBAF-BDA5-4542-9218-96D43FA4553A}" name="ufc_rankings_history" displayName="ufc_rankings_history" ref="A1:H196" tableType="queryTable" totalsRowShown="0">
  <tableColumns count="8">
    <tableColumn id="1" xr3:uid="{85713703-68FA-D74C-96C5-F0AE35274159}" uniqueName="1" name="snapshot_date" queryTableFieldId="1" dataDxfId="6"/>
    <tableColumn id="2" xr3:uid="{1753157F-C564-5146-86D2-D95DD20E1AC8}" uniqueName="2" name="ufc_last_updated" queryTableFieldId="2" dataDxfId="5"/>
    <tableColumn id="3" xr3:uid="{400503EF-CDC8-424B-B649-DBFD200B8C80}" uniqueName="3" name="division" queryTableFieldId="3" dataDxfId="4"/>
    <tableColumn id="4" xr3:uid="{BEB64397-2FC6-C443-840B-1030F11CAC1F}" uniqueName="4" name="champion" queryTableFieldId="4" dataDxfId="3"/>
    <tableColumn id="5" xr3:uid="{C9ECF25A-FDCF-064A-87FD-B4A0DEF7DDD2}" uniqueName="5" name="fighter" queryTableFieldId="5" dataDxfId="2"/>
    <tableColumn id="6" xr3:uid="{CC72F700-17D4-D441-9FF4-B4886ABE78C3}" uniqueName="6" name="fighter_url" queryTableFieldId="6" dataDxfId="1"/>
    <tableColumn id="7" xr3:uid="{99F9D4B2-6CA1-A545-830C-9438D3C96939}" uniqueName="7" name="rank" queryTableFieldId="7"/>
    <tableColumn id="8" xr3:uid="{B1DB3C4E-7E6C-C041-BFAC-3F9DB903C6F9}" uniqueName="8" name="rank_change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A04B6-0F7C-1E40-BD5A-37E40F8C1934}">
  <dimension ref="A1:H196"/>
  <sheetViews>
    <sheetView workbookViewId="0">
      <selection activeCell="D17" sqref="D17"/>
    </sheetView>
  </sheetViews>
  <sheetFormatPr baseColWidth="10" defaultRowHeight="16" x14ac:dyDescent="0.2"/>
  <cols>
    <col min="1" max="1" width="15.83203125" bestFit="1" customWidth="1"/>
    <col min="2" max="2" width="17.83203125" bestFit="1" customWidth="1"/>
    <col min="3" max="3" width="22.6640625" bestFit="1" customWidth="1"/>
    <col min="4" max="4" width="19" bestFit="1" customWidth="1"/>
    <col min="5" max="5" width="19.1640625" bestFit="1" customWidth="1"/>
    <col min="6" max="6" width="44.1640625" bestFit="1" customWidth="1"/>
    <col min="7" max="7" width="7.33203125" bestFit="1" customWidth="1"/>
    <col min="8" max="8" width="14.1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s="1">
        <v>46028</v>
      </c>
      <c r="B2" s="1">
        <v>46007</v>
      </c>
      <c r="C2" s="2" t="s">
        <v>8</v>
      </c>
      <c r="D2" s="2" t="s">
        <v>9</v>
      </c>
      <c r="E2" s="2" t="s">
        <v>9</v>
      </c>
      <c r="F2" s="2" t="s">
        <v>10</v>
      </c>
      <c r="G2">
        <v>1</v>
      </c>
      <c r="H2" s="2" t="s">
        <v>11</v>
      </c>
    </row>
    <row r="3" spans="1:8" x14ac:dyDescent="0.2">
      <c r="A3" s="1">
        <v>46028</v>
      </c>
      <c r="B3" s="1">
        <v>46007</v>
      </c>
      <c r="C3" s="2" t="s">
        <v>8</v>
      </c>
      <c r="D3" s="2" t="s">
        <v>9</v>
      </c>
      <c r="E3" s="2" t="s">
        <v>12</v>
      </c>
      <c r="F3" s="2" t="s">
        <v>13</v>
      </c>
      <c r="G3">
        <v>2</v>
      </c>
      <c r="H3" s="2" t="s">
        <v>11</v>
      </c>
    </row>
    <row r="4" spans="1:8" x14ac:dyDescent="0.2">
      <c r="A4" s="1">
        <v>46028</v>
      </c>
      <c r="B4" s="1">
        <v>46007</v>
      </c>
      <c r="C4" s="2" t="s">
        <v>8</v>
      </c>
      <c r="D4" s="2" t="s">
        <v>9</v>
      </c>
      <c r="E4" s="2" t="s">
        <v>14</v>
      </c>
      <c r="F4" s="2" t="s">
        <v>15</v>
      </c>
      <c r="G4">
        <v>3</v>
      </c>
      <c r="H4" s="2" t="s">
        <v>11</v>
      </c>
    </row>
    <row r="5" spans="1:8" x14ac:dyDescent="0.2">
      <c r="A5" s="1">
        <v>46028</v>
      </c>
      <c r="B5" s="1">
        <v>46007</v>
      </c>
      <c r="C5" s="2" t="s">
        <v>8</v>
      </c>
      <c r="D5" s="2" t="s">
        <v>9</v>
      </c>
      <c r="E5" s="2" t="s">
        <v>16</v>
      </c>
      <c r="F5" s="2" t="s">
        <v>17</v>
      </c>
      <c r="G5">
        <v>4</v>
      </c>
      <c r="H5" s="2" t="s">
        <v>11</v>
      </c>
    </row>
    <row r="6" spans="1:8" x14ac:dyDescent="0.2">
      <c r="A6" s="1">
        <v>46028</v>
      </c>
      <c r="B6" s="1">
        <v>46007</v>
      </c>
      <c r="C6" s="2" t="s">
        <v>8</v>
      </c>
      <c r="D6" s="2" t="s">
        <v>9</v>
      </c>
      <c r="E6" s="2" t="s">
        <v>18</v>
      </c>
      <c r="F6" s="2" t="s">
        <v>19</v>
      </c>
      <c r="G6">
        <v>5</v>
      </c>
      <c r="H6" s="2" t="s">
        <v>11</v>
      </c>
    </row>
    <row r="7" spans="1:8" x14ac:dyDescent="0.2">
      <c r="A7" s="1">
        <v>46028</v>
      </c>
      <c r="B7" s="1">
        <v>46007</v>
      </c>
      <c r="C7" s="2" t="s">
        <v>8</v>
      </c>
      <c r="D7" s="2" t="s">
        <v>9</v>
      </c>
      <c r="E7" s="2" t="s">
        <v>20</v>
      </c>
      <c r="F7" s="2" t="s">
        <v>21</v>
      </c>
      <c r="G7">
        <v>6</v>
      </c>
      <c r="H7" s="2" t="s">
        <v>11</v>
      </c>
    </row>
    <row r="8" spans="1:8" x14ac:dyDescent="0.2">
      <c r="A8" s="1">
        <v>46028</v>
      </c>
      <c r="B8" s="1">
        <v>46007</v>
      </c>
      <c r="C8" s="2" t="s">
        <v>8</v>
      </c>
      <c r="D8" s="2" t="s">
        <v>9</v>
      </c>
      <c r="E8" s="2" t="s">
        <v>22</v>
      </c>
      <c r="F8" s="2" t="s">
        <v>23</v>
      </c>
      <c r="G8">
        <v>7</v>
      </c>
      <c r="H8" s="2" t="s">
        <v>24</v>
      </c>
    </row>
    <row r="9" spans="1:8" x14ac:dyDescent="0.2">
      <c r="A9" s="1">
        <v>46028</v>
      </c>
      <c r="B9" s="1">
        <v>46007</v>
      </c>
      <c r="C9" s="2" t="s">
        <v>8</v>
      </c>
      <c r="D9" s="2" t="s">
        <v>9</v>
      </c>
      <c r="E9" s="2" t="s">
        <v>25</v>
      </c>
      <c r="F9" s="2" t="s">
        <v>26</v>
      </c>
      <c r="G9">
        <v>8</v>
      </c>
      <c r="H9" s="2" t="s">
        <v>27</v>
      </c>
    </row>
    <row r="10" spans="1:8" x14ac:dyDescent="0.2">
      <c r="A10" s="1">
        <v>46028</v>
      </c>
      <c r="B10" s="1">
        <v>46007</v>
      </c>
      <c r="C10" s="2" t="s">
        <v>8</v>
      </c>
      <c r="D10" s="2" t="s">
        <v>9</v>
      </c>
      <c r="E10" s="2" t="s">
        <v>28</v>
      </c>
      <c r="F10" s="2" t="s">
        <v>29</v>
      </c>
      <c r="G10">
        <v>9</v>
      </c>
      <c r="H10" s="2" t="s">
        <v>11</v>
      </c>
    </row>
    <row r="11" spans="1:8" x14ac:dyDescent="0.2">
      <c r="A11" s="1">
        <v>46028</v>
      </c>
      <c r="B11" s="1">
        <v>46007</v>
      </c>
      <c r="C11" s="2" t="s">
        <v>8</v>
      </c>
      <c r="D11" s="2" t="s">
        <v>9</v>
      </c>
      <c r="E11" s="2" t="s">
        <v>30</v>
      </c>
      <c r="F11" s="2" t="s">
        <v>31</v>
      </c>
      <c r="G11">
        <v>10</v>
      </c>
      <c r="H11" s="2" t="s">
        <v>11</v>
      </c>
    </row>
    <row r="12" spans="1:8" x14ac:dyDescent="0.2">
      <c r="A12" s="1">
        <v>46028</v>
      </c>
      <c r="B12" s="1">
        <v>46007</v>
      </c>
      <c r="C12" s="2" t="s">
        <v>8</v>
      </c>
      <c r="D12" s="2" t="s">
        <v>9</v>
      </c>
      <c r="E12" s="2" t="s">
        <v>32</v>
      </c>
      <c r="F12" s="2" t="s">
        <v>33</v>
      </c>
      <c r="G12">
        <v>11</v>
      </c>
      <c r="H12" s="2" t="s">
        <v>24</v>
      </c>
    </row>
    <row r="13" spans="1:8" x14ac:dyDescent="0.2">
      <c r="A13" s="1">
        <v>46028</v>
      </c>
      <c r="B13" s="1">
        <v>46007</v>
      </c>
      <c r="C13" s="2" t="s">
        <v>8</v>
      </c>
      <c r="D13" s="2" t="s">
        <v>9</v>
      </c>
      <c r="E13" s="2" t="s">
        <v>34</v>
      </c>
      <c r="F13" s="2" t="s">
        <v>35</v>
      </c>
      <c r="G13">
        <v>12</v>
      </c>
      <c r="H13" s="2" t="s">
        <v>27</v>
      </c>
    </row>
    <row r="14" spans="1:8" x14ac:dyDescent="0.2">
      <c r="A14" s="1">
        <v>46028</v>
      </c>
      <c r="B14" s="1">
        <v>46007</v>
      </c>
      <c r="C14" s="2" t="s">
        <v>8</v>
      </c>
      <c r="D14" s="2" t="s">
        <v>9</v>
      </c>
      <c r="E14" s="2" t="s">
        <v>36</v>
      </c>
      <c r="F14" s="2" t="s">
        <v>37</v>
      </c>
      <c r="G14">
        <v>13</v>
      </c>
      <c r="H14" s="2" t="s">
        <v>11</v>
      </c>
    </row>
    <row r="15" spans="1:8" x14ac:dyDescent="0.2">
      <c r="A15" s="1">
        <v>46028</v>
      </c>
      <c r="B15" s="1">
        <v>46007</v>
      </c>
      <c r="C15" s="2" t="s">
        <v>8</v>
      </c>
      <c r="D15" s="2" t="s">
        <v>9</v>
      </c>
      <c r="E15" s="2" t="s">
        <v>38</v>
      </c>
      <c r="F15" s="2" t="s">
        <v>39</v>
      </c>
      <c r="G15">
        <v>14</v>
      </c>
      <c r="H15" s="2" t="s">
        <v>11</v>
      </c>
    </row>
    <row r="16" spans="1:8" x14ac:dyDescent="0.2">
      <c r="A16" s="1">
        <v>46028</v>
      </c>
      <c r="B16" s="1">
        <v>46007</v>
      </c>
      <c r="C16" s="2" t="s">
        <v>8</v>
      </c>
      <c r="D16" s="2" t="s">
        <v>9</v>
      </c>
      <c r="E16" s="2" t="s">
        <v>40</v>
      </c>
      <c r="F16" s="2" t="s">
        <v>41</v>
      </c>
      <c r="G16">
        <v>15</v>
      </c>
      <c r="H16" s="2" t="s">
        <v>11</v>
      </c>
    </row>
    <row r="17" spans="1:8" x14ac:dyDescent="0.2">
      <c r="A17" s="1">
        <v>46028</v>
      </c>
      <c r="B17" s="1">
        <v>46007</v>
      </c>
      <c r="C17" s="2" t="s">
        <v>42</v>
      </c>
      <c r="D17" s="2" t="s">
        <v>34</v>
      </c>
      <c r="E17" s="2" t="s">
        <v>28</v>
      </c>
      <c r="F17" s="2" t="s">
        <v>29</v>
      </c>
      <c r="G17">
        <v>1</v>
      </c>
      <c r="H17" s="2" t="s">
        <v>11</v>
      </c>
    </row>
    <row r="18" spans="1:8" x14ac:dyDescent="0.2">
      <c r="A18" s="1">
        <v>46028</v>
      </c>
      <c r="B18" s="1">
        <v>46007</v>
      </c>
      <c r="C18" s="2" t="s">
        <v>42</v>
      </c>
      <c r="D18" s="2" t="s">
        <v>34</v>
      </c>
      <c r="E18" s="2" t="s">
        <v>43</v>
      </c>
      <c r="F18" s="2" t="s">
        <v>44</v>
      </c>
      <c r="G18">
        <v>2</v>
      </c>
      <c r="H18" s="2" t="s">
        <v>45</v>
      </c>
    </row>
    <row r="19" spans="1:8" x14ac:dyDescent="0.2">
      <c r="A19" s="1">
        <v>46028</v>
      </c>
      <c r="B19" s="1">
        <v>46007</v>
      </c>
      <c r="C19" s="2" t="s">
        <v>42</v>
      </c>
      <c r="D19" s="2" t="s">
        <v>34</v>
      </c>
      <c r="E19" s="2" t="s">
        <v>46</v>
      </c>
      <c r="F19" s="2" t="s">
        <v>47</v>
      </c>
      <c r="G19">
        <v>3</v>
      </c>
      <c r="H19" s="2" t="s">
        <v>11</v>
      </c>
    </row>
    <row r="20" spans="1:8" x14ac:dyDescent="0.2">
      <c r="A20" s="1">
        <v>46028</v>
      </c>
      <c r="B20" s="1">
        <v>46007</v>
      </c>
      <c r="C20" s="2" t="s">
        <v>42</v>
      </c>
      <c r="D20" s="2" t="s">
        <v>34</v>
      </c>
      <c r="E20" s="2" t="s">
        <v>48</v>
      </c>
      <c r="F20" s="2" t="s">
        <v>49</v>
      </c>
      <c r="G20">
        <v>4</v>
      </c>
      <c r="H20" s="2" t="s">
        <v>50</v>
      </c>
    </row>
    <row r="21" spans="1:8" x14ac:dyDescent="0.2">
      <c r="A21" s="1">
        <v>46028</v>
      </c>
      <c r="B21" s="1">
        <v>46007</v>
      </c>
      <c r="C21" s="2" t="s">
        <v>42</v>
      </c>
      <c r="D21" s="2" t="s">
        <v>34</v>
      </c>
      <c r="E21" s="2" t="s">
        <v>51</v>
      </c>
      <c r="F21" s="2" t="s">
        <v>52</v>
      </c>
      <c r="G21">
        <v>5</v>
      </c>
      <c r="H21" s="2" t="s">
        <v>27</v>
      </c>
    </row>
    <row r="22" spans="1:8" x14ac:dyDescent="0.2">
      <c r="A22" s="1">
        <v>46028</v>
      </c>
      <c r="B22" s="1">
        <v>46007</v>
      </c>
      <c r="C22" s="2" t="s">
        <v>42</v>
      </c>
      <c r="D22" s="2" t="s">
        <v>34</v>
      </c>
      <c r="E22" s="2" t="s">
        <v>53</v>
      </c>
      <c r="F22" s="2" t="s">
        <v>54</v>
      </c>
      <c r="G22">
        <v>6</v>
      </c>
      <c r="H22" s="2" t="s">
        <v>27</v>
      </c>
    </row>
    <row r="23" spans="1:8" x14ac:dyDescent="0.2">
      <c r="A23" s="1">
        <v>46028</v>
      </c>
      <c r="B23" s="1">
        <v>46007</v>
      </c>
      <c r="C23" s="2" t="s">
        <v>42</v>
      </c>
      <c r="D23" s="2" t="s">
        <v>34</v>
      </c>
      <c r="E23" s="2" t="s">
        <v>55</v>
      </c>
      <c r="F23" s="2" t="s">
        <v>56</v>
      </c>
      <c r="G23">
        <v>7</v>
      </c>
      <c r="H23" s="2" t="s">
        <v>11</v>
      </c>
    </row>
    <row r="24" spans="1:8" x14ac:dyDescent="0.2">
      <c r="A24" s="1">
        <v>46028</v>
      </c>
      <c r="B24" s="1">
        <v>46007</v>
      </c>
      <c r="C24" s="2" t="s">
        <v>42</v>
      </c>
      <c r="D24" s="2" t="s">
        <v>34</v>
      </c>
      <c r="E24" s="2" t="s">
        <v>57</v>
      </c>
      <c r="F24" s="2" t="s">
        <v>58</v>
      </c>
      <c r="G24">
        <v>8</v>
      </c>
      <c r="H24" s="2" t="s">
        <v>11</v>
      </c>
    </row>
    <row r="25" spans="1:8" x14ac:dyDescent="0.2">
      <c r="A25" s="1">
        <v>46028</v>
      </c>
      <c r="B25" s="1">
        <v>46007</v>
      </c>
      <c r="C25" s="2" t="s">
        <v>42</v>
      </c>
      <c r="D25" s="2" t="s">
        <v>34</v>
      </c>
      <c r="E25" s="2" t="s">
        <v>59</v>
      </c>
      <c r="F25" s="2" t="s">
        <v>60</v>
      </c>
      <c r="G25">
        <v>9</v>
      </c>
      <c r="H25" s="2" t="s">
        <v>11</v>
      </c>
    </row>
    <row r="26" spans="1:8" x14ac:dyDescent="0.2">
      <c r="A26" s="1">
        <v>46028</v>
      </c>
      <c r="B26" s="1">
        <v>46007</v>
      </c>
      <c r="C26" s="2" t="s">
        <v>42</v>
      </c>
      <c r="D26" s="2" t="s">
        <v>34</v>
      </c>
      <c r="E26" s="2" t="s">
        <v>61</v>
      </c>
      <c r="F26" s="2" t="s">
        <v>62</v>
      </c>
      <c r="G26">
        <v>10</v>
      </c>
      <c r="H26" s="2" t="s">
        <v>11</v>
      </c>
    </row>
    <row r="27" spans="1:8" x14ac:dyDescent="0.2">
      <c r="A27" s="1">
        <v>46028</v>
      </c>
      <c r="B27" s="1">
        <v>46007</v>
      </c>
      <c r="C27" s="2" t="s">
        <v>42</v>
      </c>
      <c r="D27" s="2" t="s">
        <v>34</v>
      </c>
      <c r="E27" s="2" t="s">
        <v>63</v>
      </c>
      <c r="F27" s="2" t="s">
        <v>64</v>
      </c>
      <c r="G27">
        <v>11</v>
      </c>
      <c r="H27" s="2" t="s">
        <v>11</v>
      </c>
    </row>
    <row r="28" spans="1:8" x14ac:dyDescent="0.2">
      <c r="A28" s="1">
        <v>46028</v>
      </c>
      <c r="B28" s="1">
        <v>46007</v>
      </c>
      <c r="C28" s="2" t="s">
        <v>42</v>
      </c>
      <c r="D28" s="2" t="s">
        <v>34</v>
      </c>
      <c r="E28" s="2" t="s">
        <v>65</v>
      </c>
      <c r="F28" s="2" t="s">
        <v>66</v>
      </c>
      <c r="G28">
        <v>12</v>
      </c>
      <c r="H28" s="2" t="s">
        <v>11</v>
      </c>
    </row>
    <row r="29" spans="1:8" x14ac:dyDescent="0.2">
      <c r="A29" s="1">
        <v>46028</v>
      </c>
      <c r="B29" s="1">
        <v>46007</v>
      </c>
      <c r="C29" s="2" t="s">
        <v>42</v>
      </c>
      <c r="D29" s="2" t="s">
        <v>34</v>
      </c>
      <c r="E29" s="2" t="s">
        <v>67</v>
      </c>
      <c r="F29" s="2" t="s">
        <v>68</v>
      </c>
      <c r="G29">
        <v>13</v>
      </c>
      <c r="H29" s="2" t="s">
        <v>11</v>
      </c>
    </row>
    <row r="30" spans="1:8" x14ac:dyDescent="0.2">
      <c r="A30" s="1">
        <v>46028</v>
      </c>
      <c r="B30" s="1">
        <v>46007</v>
      </c>
      <c r="C30" s="2" t="s">
        <v>42</v>
      </c>
      <c r="D30" s="2" t="s">
        <v>34</v>
      </c>
      <c r="E30" s="2" t="s">
        <v>69</v>
      </c>
      <c r="F30" s="2" t="s">
        <v>70</v>
      </c>
      <c r="G30">
        <v>14</v>
      </c>
      <c r="H30" s="2" t="s">
        <v>11</v>
      </c>
    </row>
    <row r="31" spans="1:8" x14ac:dyDescent="0.2">
      <c r="A31" s="1">
        <v>46028</v>
      </c>
      <c r="B31" s="1">
        <v>46007</v>
      </c>
      <c r="C31" s="2" t="s">
        <v>42</v>
      </c>
      <c r="D31" s="2" t="s">
        <v>34</v>
      </c>
      <c r="E31" s="2" t="s">
        <v>71</v>
      </c>
      <c r="F31" s="2" t="s">
        <v>72</v>
      </c>
      <c r="G31">
        <v>15</v>
      </c>
      <c r="H31" s="2" t="s">
        <v>11</v>
      </c>
    </row>
    <row r="32" spans="1:8" x14ac:dyDescent="0.2">
      <c r="A32" s="1">
        <v>46028</v>
      </c>
      <c r="B32" s="1">
        <v>46007</v>
      </c>
      <c r="C32" s="2" t="s">
        <v>73</v>
      </c>
      <c r="D32" s="2" t="s">
        <v>20</v>
      </c>
      <c r="E32" s="2" t="s">
        <v>22</v>
      </c>
      <c r="F32" s="2" t="s">
        <v>23</v>
      </c>
      <c r="G32">
        <v>1</v>
      </c>
      <c r="H32" s="2" t="s">
        <v>11</v>
      </c>
    </row>
    <row r="33" spans="1:8" x14ac:dyDescent="0.2">
      <c r="A33" s="1">
        <v>46028</v>
      </c>
      <c r="B33" s="1">
        <v>46007</v>
      </c>
      <c r="C33" s="2" t="s">
        <v>73</v>
      </c>
      <c r="D33" s="2" t="s">
        <v>20</v>
      </c>
      <c r="E33" s="2" t="s">
        <v>74</v>
      </c>
      <c r="F33" s="2" t="s">
        <v>75</v>
      </c>
      <c r="G33">
        <v>2</v>
      </c>
      <c r="H33" s="2" t="s">
        <v>11</v>
      </c>
    </row>
    <row r="34" spans="1:8" x14ac:dyDescent="0.2">
      <c r="A34" s="1">
        <v>46028</v>
      </c>
      <c r="B34" s="1">
        <v>46007</v>
      </c>
      <c r="C34" s="2" t="s">
        <v>73</v>
      </c>
      <c r="D34" s="2" t="s">
        <v>20</v>
      </c>
      <c r="E34" s="2" t="s">
        <v>76</v>
      </c>
      <c r="F34" s="2" t="s">
        <v>77</v>
      </c>
      <c r="G34">
        <v>3</v>
      </c>
      <c r="H34" s="2" t="s">
        <v>11</v>
      </c>
    </row>
    <row r="35" spans="1:8" x14ac:dyDescent="0.2">
      <c r="A35" s="1">
        <v>46028</v>
      </c>
      <c r="B35" s="1">
        <v>46007</v>
      </c>
      <c r="C35" s="2" t="s">
        <v>73</v>
      </c>
      <c r="D35" s="2" t="s">
        <v>20</v>
      </c>
      <c r="E35" s="2" t="s">
        <v>78</v>
      </c>
      <c r="F35" s="2" t="s">
        <v>79</v>
      </c>
      <c r="G35">
        <v>4</v>
      </c>
      <c r="H35" s="2" t="s">
        <v>11</v>
      </c>
    </row>
    <row r="36" spans="1:8" x14ac:dyDescent="0.2">
      <c r="A36" s="1">
        <v>46028</v>
      </c>
      <c r="B36" s="1">
        <v>46007</v>
      </c>
      <c r="C36" s="2" t="s">
        <v>73</v>
      </c>
      <c r="D36" s="2" t="s">
        <v>20</v>
      </c>
      <c r="E36" s="2" t="s">
        <v>80</v>
      </c>
      <c r="F36" s="2" t="s">
        <v>81</v>
      </c>
      <c r="G36">
        <v>5</v>
      </c>
      <c r="H36" s="2" t="s">
        <v>11</v>
      </c>
    </row>
    <row r="37" spans="1:8" x14ac:dyDescent="0.2">
      <c r="A37" s="1">
        <v>46028</v>
      </c>
      <c r="B37" s="1">
        <v>46007</v>
      </c>
      <c r="C37" s="2" t="s">
        <v>73</v>
      </c>
      <c r="D37" s="2" t="s">
        <v>20</v>
      </c>
      <c r="E37" s="2" t="s">
        <v>82</v>
      </c>
      <c r="F37" s="2" t="s">
        <v>83</v>
      </c>
      <c r="G37">
        <v>6</v>
      </c>
      <c r="H37" s="2" t="s">
        <v>11</v>
      </c>
    </row>
    <row r="38" spans="1:8" x14ac:dyDescent="0.2">
      <c r="A38" s="1">
        <v>46028</v>
      </c>
      <c r="B38" s="1">
        <v>46007</v>
      </c>
      <c r="C38" s="2" t="s">
        <v>73</v>
      </c>
      <c r="D38" s="2" t="s">
        <v>20</v>
      </c>
      <c r="E38" s="2" t="s">
        <v>84</v>
      </c>
      <c r="F38" s="2" t="s">
        <v>85</v>
      </c>
      <c r="G38">
        <v>7</v>
      </c>
      <c r="H38" s="2" t="s">
        <v>11</v>
      </c>
    </row>
    <row r="39" spans="1:8" x14ac:dyDescent="0.2">
      <c r="A39" s="1">
        <v>46028</v>
      </c>
      <c r="B39" s="1">
        <v>46007</v>
      </c>
      <c r="C39" s="2" t="s">
        <v>73</v>
      </c>
      <c r="D39" s="2" t="s">
        <v>20</v>
      </c>
      <c r="E39" s="2" t="s">
        <v>86</v>
      </c>
      <c r="F39" s="2" t="s">
        <v>87</v>
      </c>
      <c r="G39">
        <v>8</v>
      </c>
      <c r="H39" s="2" t="s">
        <v>11</v>
      </c>
    </row>
    <row r="40" spans="1:8" x14ac:dyDescent="0.2">
      <c r="A40" s="1">
        <v>46028</v>
      </c>
      <c r="B40" s="1">
        <v>46007</v>
      </c>
      <c r="C40" s="2" t="s">
        <v>73</v>
      </c>
      <c r="D40" s="2" t="s">
        <v>20</v>
      </c>
      <c r="E40" s="2" t="s">
        <v>88</v>
      </c>
      <c r="F40" s="2" t="s">
        <v>89</v>
      </c>
      <c r="G40">
        <v>9</v>
      </c>
      <c r="H40" s="2" t="s">
        <v>11</v>
      </c>
    </row>
    <row r="41" spans="1:8" x14ac:dyDescent="0.2">
      <c r="A41" s="1">
        <v>46028</v>
      </c>
      <c r="B41" s="1">
        <v>46007</v>
      </c>
      <c r="C41" s="2" t="s">
        <v>73</v>
      </c>
      <c r="D41" s="2" t="s">
        <v>20</v>
      </c>
      <c r="E41" s="2" t="s">
        <v>90</v>
      </c>
      <c r="F41" s="2" t="s">
        <v>91</v>
      </c>
      <c r="G41">
        <v>10</v>
      </c>
      <c r="H41" s="2" t="s">
        <v>11</v>
      </c>
    </row>
    <row r="42" spans="1:8" x14ac:dyDescent="0.2">
      <c r="A42" s="1">
        <v>46028</v>
      </c>
      <c r="B42" s="1">
        <v>46007</v>
      </c>
      <c r="C42" s="2" t="s">
        <v>73</v>
      </c>
      <c r="D42" s="2" t="s">
        <v>20</v>
      </c>
      <c r="E42" s="2" t="s">
        <v>92</v>
      </c>
      <c r="F42" s="2" t="s">
        <v>93</v>
      </c>
      <c r="G42">
        <v>11</v>
      </c>
      <c r="H42" s="2" t="s">
        <v>24</v>
      </c>
    </row>
    <row r="43" spans="1:8" x14ac:dyDescent="0.2">
      <c r="A43" s="1">
        <v>46028</v>
      </c>
      <c r="B43" s="1">
        <v>46007</v>
      </c>
      <c r="C43" s="2" t="s">
        <v>73</v>
      </c>
      <c r="D43" s="2" t="s">
        <v>20</v>
      </c>
      <c r="E43" s="2" t="s">
        <v>94</v>
      </c>
      <c r="F43" s="2" t="s">
        <v>95</v>
      </c>
      <c r="G43">
        <v>12</v>
      </c>
      <c r="H43" s="2" t="s">
        <v>27</v>
      </c>
    </row>
    <row r="44" spans="1:8" x14ac:dyDescent="0.2">
      <c r="A44" s="1">
        <v>46028</v>
      </c>
      <c r="B44" s="1">
        <v>46007</v>
      </c>
      <c r="C44" s="2" t="s">
        <v>73</v>
      </c>
      <c r="D44" s="2" t="s">
        <v>20</v>
      </c>
      <c r="E44" s="2" t="s">
        <v>96</v>
      </c>
      <c r="F44" s="2" t="s">
        <v>97</v>
      </c>
      <c r="G44">
        <v>13</v>
      </c>
      <c r="H44" s="2" t="s">
        <v>27</v>
      </c>
    </row>
    <row r="45" spans="1:8" x14ac:dyDescent="0.2">
      <c r="A45" s="1">
        <v>46028</v>
      </c>
      <c r="B45" s="1">
        <v>46007</v>
      </c>
      <c r="C45" s="2" t="s">
        <v>73</v>
      </c>
      <c r="D45" s="2" t="s">
        <v>20</v>
      </c>
      <c r="E45" s="2" t="s">
        <v>98</v>
      </c>
      <c r="F45" s="2" t="s">
        <v>99</v>
      </c>
      <c r="G45">
        <v>14</v>
      </c>
      <c r="H45" s="2" t="s">
        <v>11</v>
      </c>
    </row>
    <row r="46" spans="1:8" x14ac:dyDescent="0.2">
      <c r="A46" s="1">
        <v>46028</v>
      </c>
      <c r="B46" s="1">
        <v>46007</v>
      </c>
      <c r="C46" s="2" t="s">
        <v>73</v>
      </c>
      <c r="D46" s="2" t="s">
        <v>20</v>
      </c>
      <c r="E46" s="2" t="s">
        <v>100</v>
      </c>
      <c r="F46" s="2" t="s">
        <v>101</v>
      </c>
      <c r="G46">
        <v>15</v>
      </c>
      <c r="H46" s="2" t="s">
        <v>102</v>
      </c>
    </row>
    <row r="47" spans="1:8" x14ac:dyDescent="0.2">
      <c r="A47" s="1">
        <v>46028</v>
      </c>
      <c r="B47" s="1">
        <v>46007</v>
      </c>
      <c r="C47" s="2" t="s">
        <v>103</v>
      </c>
      <c r="D47" s="2" t="s">
        <v>18</v>
      </c>
      <c r="E47" s="2" t="s">
        <v>104</v>
      </c>
      <c r="F47" s="2" t="s">
        <v>105</v>
      </c>
      <c r="G47">
        <v>1</v>
      </c>
      <c r="H47" s="2" t="s">
        <v>11</v>
      </c>
    </row>
    <row r="48" spans="1:8" x14ac:dyDescent="0.2">
      <c r="A48" s="1">
        <v>46028</v>
      </c>
      <c r="B48" s="1">
        <v>46007</v>
      </c>
      <c r="C48" s="2" t="s">
        <v>103</v>
      </c>
      <c r="D48" s="2" t="s">
        <v>18</v>
      </c>
      <c r="E48" s="2" t="s">
        <v>106</v>
      </c>
      <c r="F48" s="2" t="s">
        <v>107</v>
      </c>
      <c r="G48">
        <v>2</v>
      </c>
      <c r="H48" s="2" t="s">
        <v>11</v>
      </c>
    </row>
    <row r="49" spans="1:8" x14ac:dyDescent="0.2">
      <c r="A49" s="1">
        <v>46028</v>
      </c>
      <c r="B49" s="1">
        <v>46007</v>
      </c>
      <c r="C49" s="2" t="s">
        <v>103</v>
      </c>
      <c r="D49" s="2" t="s">
        <v>18</v>
      </c>
      <c r="E49" s="2" t="s">
        <v>108</v>
      </c>
      <c r="F49" s="2" t="s">
        <v>109</v>
      </c>
      <c r="G49">
        <v>3</v>
      </c>
      <c r="H49" s="2" t="s">
        <v>11</v>
      </c>
    </row>
    <row r="50" spans="1:8" x14ac:dyDescent="0.2">
      <c r="A50" s="1">
        <v>46028</v>
      </c>
      <c r="B50" s="1">
        <v>46007</v>
      </c>
      <c r="C50" s="2" t="s">
        <v>103</v>
      </c>
      <c r="D50" s="2" t="s">
        <v>18</v>
      </c>
      <c r="E50" s="2" t="s">
        <v>110</v>
      </c>
      <c r="F50" s="2" t="s">
        <v>111</v>
      </c>
      <c r="G50">
        <v>4</v>
      </c>
      <c r="H50" s="2" t="s">
        <v>11</v>
      </c>
    </row>
    <row r="51" spans="1:8" x14ac:dyDescent="0.2">
      <c r="A51" s="1">
        <v>46028</v>
      </c>
      <c r="B51" s="1">
        <v>46007</v>
      </c>
      <c r="C51" s="2" t="s">
        <v>103</v>
      </c>
      <c r="D51" s="2" t="s">
        <v>18</v>
      </c>
      <c r="E51" s="2" t="s">
        <v>112</v>
      </c>
      <c r="F51" s="2" t="s">
        <v>113</v>
      </c>
      <c r="G51">
        <v>5</v>
      </c>
      <c r="H51" s="2" t="s">
        <v>11</v>
      </c>
    </row>
    <row r="52" spans="1:8" x14ac:dyDescent="0.2">
      <c r="A52" s="1">
        <v>46028</v>
      </c>
      <c r="B52" s="1">
        <v>46007</v>
      </c>
      <c r="C52" s="2" t="s">
        <v>103</v>
      </c>
      <c r="D52" s="2" t="s">
        <v>18</v>
      </c>
      <c r="E52" s="2" t="s">
        <v>114</v>
      </c>
      <c r="F52" s="2" t="s">
        <v>115</v>
      </c>
      <c r="G52">
        <v>6</v>
      </c>
      <c r="H52" s="2" t="s">
        <v>11</v>
      </c>
    </row>
    <row r="53" spans="1:8" x14ac:dyDescent="0.2">
      <c r="A53" s="1">
        <v>46028</v>
      </c>
      <c r="B53" s="1">
        <v>46007</v>
      </c>
      <c r="C53" s="2" t="s">
        <v>103</v>
      </c>
      <c r="D53" s="2" t="s">
        <v>18</v>
      </c>
      <c r="E53" s="2" t="s">
        <v>116</v>
      </c>
      <c r="F53" s="2" t="s">
        <v>117</v>
      </c>
      <c r="G53">
        <v>7</v>
      </c>
      <c r="H53" s="2" t="s">
        <v>11</v>
      </c>
    </row>
    <row r="54" spans="1:8" x14ac:dyDescent="0.2">
      <c r="A54" s="1">
        <v>46028</v>
      </c>
      <c r="B54" s="1">
        <v>46007</v>
      </c>
      <c r="C54" s="2" t="s">
        <v>103</v>
      </c>
      <c r="D54" s="2" t="s">
        <v>18</v>
      </c>
      <c r="E54" s="2" t="s">
        <v>118</v>
      </c>
      <c r="F54" s="2" t="s">
        <v>119</v>
      </c>
      <c r="G54">
        <v>8</v>
      </c>
      <c r="H54" s="2" t="s">
        <v>11</v>
      </c>
    </row>
    <row r="55" spans="1:8" x14ac:dyDescent="0.2">
      <c r="A55" s="1">
        <v>46028</v>
      </c>
      <c r="B55" s="1">
        <v>46007</v>
      </c>
      <c r="C55" s="2" t="s">
        <v>103</v>
      </c>
      <c r="D55" s="2" t="s">
        <v>18</v>
      </c>
      <c r="E55" s="2" t="s">
        <v>120</v>
      </c>
      <c r="F55" s="2" t="s">
        <v>121</v>
      </c>
      <c r="G55">
        <v>9</v>
      </c>
      <c r="H55" s="2" t="s">
        <v>11</v>
      </c>
    </row>
    <row r="56" spans="1:8" x14ac:dyDescent="0.2">
      <c r="A56" s="1">
        <v>46028</v>
      </c>
      <c r="B56" s="1">
        <v>46007</v>
      </c>
      <c r="C56" s="2" t="s">
        <v>103</v>
      </c>
      <c r="D56" s="2" t="s">
        <v>18</v>
      </c>
      <c r="E56" s="2" t="s">
        <v>122</v>
      </c>
      <c r="F56" s="2" t="s">
        <v>123</v>
      </c>
      <c r="G56">
        <v>10</v>
      </c>
      <c r="H56" s="2" t="s">
        <v>24</v>
      </c>
    </row>
    <row r="57" spans="1:8" x14ac:dyDescent="0.2">
      <c r="A57" s="1">
        <v>46028</v>
      </c>
      <c r="B57" s="1">
        <v>46007</v>
      </c>
      <c r="C57" s="2" t="s">
        <v>103</v>
      </c>
      <c r="D57" s="2" t="s">
        <v>18</v>
      </c>
      <c r="E57" s="2" t="s">
        <v>124</v>
      </c>
      <c r="F57" s="2" t="s">
        <v>125</v>
      </c>
      <c r="G57">
        <v>11</v>
      </c>
      <c r="H57" s="2" t="s">
        <v>27</v>
      </c>
    </row>
    <row r="58" spans="1:8" x14ac:dyDescent="0.2">
      <c r="A58" s="1">
        <v>46028</v>
      </c>
      <c r="B58" s="1">
        <v>46007</v>
      </c>
      <c r="C58" s="2" t="s">
        <v>103</v>
      </c>
      <c r="D58" s="2" t="s">
        <v>18</v>
      </c>
      <c r="E58" s="2" t="s">
        <v>126</v>
      </c>
      <c r="F58" s="2" t="s">
        <v>127</v>
      </c>
      <c r="G58">
        <v>12</v>
      </c>
      <c r="H58" s="2" t="s">
        <v>11</v>
      </c>
    </row>
    <row r="59" spans="1:8" x14ac:dyDescent="0.2">
      <c r="A59" s="1">
        <v>46028</v>
      </c>
      <c r="B59" s="1">
        <v>46007</v>
      </c>
      <c r="C59" s="2" t="s">
        <v>103</v>
      </c>
      <c r="D59" s="2" t="s">
        <v>18</v>
      </c>
      <c r="E59" s="2" t="s">
        <v>128</v>
      </c>
      <c r="F59" s="2" t="s">
        <v>129</v>
      </c>
      <c r="G59">
        <v>13</v>
      </c>
      <c r="H59" s="2" t="s">
        <v>102</v>
      </c>
    </row>
    <row r="60" spans="1:8" x14ac:dyDescent="0.2">
      <c r="A60" s="1">
        <v>46028</v>
      </c>
      <c r="B60" s="1">
        <v>46007</v>
      </c>
      <c r="C60" s="2" t="s">
        <v>103</v>
      </c>
      <c r="D60" s="2" t="s">
        <v>18</v>
      </c>
      <c r="E60" s="2" t="s">
        <v>130</v>
      </c>
      <c r="F60" s="2" t="s">
        <v>131</v>
      </c>
      <c r="G60">
        <v>14</v>
      </c>
      <c r="H60" s="2" t="s">
        <v>27</v>
      </c>
    </row>
    <row r="61" spans="1:8" x14ac:dyDescent="0.2">
      <c r="A61" s="1">
        <v>46028</v>
      </c>
      <c r="B61" s="1">
        <v>46007</v>
      </c>
      <c r="C61" s="2" t="s">
        <v>103</v>
      </c>
      <c r="D61" s="2" t="s">
        <v>18</v>
      </c>
      <c r="E61" s="2" t="s">
        <v>132</v>
      </c>
      <c r="F61" s="2" t="s">
        <v>133</v>
      </c>
      <c r="G61">
        <v>15</v>
      </c>
      <c r="H61" s="2" t="s">
        <v>27</v>
      </c>
    </row>
    <row r="62" spans="1:8" x14ac:dyDescent="0.2">
      <c r="A62" s="1">
        <v>46028</v>
      </c>
      <c r="B62" s="1">
        <v>46007</v>
      </c>
      <c r="C62" s="2" t="s">
        <v>134</v>
      </c>
      <c r="D62" s="2" t="s">
        <v>12</v>
      </c>
      <c r="E62" s="2" t="s">
        <v>40</v>
      </c>
      <c r="F62" s="2" t="s">
        <v>41</v>
      </c>
      <c r="G62">
        <v>1</v>
      </c>
      <c r="H62" s="2" t="s">
        <v>11</v>
      </c>
    </row>
    <row r="63" spans="1:8" x14ac:dyDescent="0.2">
      <c r="A63" s="1">
        <v>46028</v>
      </c>
      <c r="B63" s="1">
        <v>46007</v>
      </c>
      <c r="C63" s="2" t="s">
        <v>134</v>
      </c>
      <c r="D63" s="2" t="s">
        <v>12</v>
      </c>
      <c r="E63" s="2" t="s">
        <v>135</v>
      </c>
      <c r="F63" s="2" t="s">
        <v>136</v>
      </c>
      <c r="G63">
        <v>2</v>
      </c>
      <c r="H63" s="2" t="s">
        <v>11</v>
      </c>
    </row>
    <row r="64" spans="1:8" x14ac:dyDescent="0.2">
      <c r="A64" s="1">
        <v>46028</v>
      </c>
      <c r="B64" s="1">
        <v>46007</v>
      </c>
      <c r="C64" s="2" t="s">
        <v>134</v>
      </c>
      <c r="D64" s="2" t="s">
        <v>12</v>
      </c>
      <c r="E64" s="2" t="s">
        <v>30</v>
      </c>
      <c r="F64" s="2" t="s">
        <v>31</v>
      </c>
      <c r="G64">
        <v>3</v>
      </c>
      <c r="H64" s="2" t="s">
        <v>11</v>
      </c>
    </row>
    <row r="65" spans="1:8" x14ac:dyDescent="0.2">
      <c r="A65" s="1">
        <v>46028</v>
      </c>
      <c r="B65" s="1">
        <v>46007</v>
      </c>
      <c r="C65" s="2" t="s">
        <v>134</v>
      </c>
      <c r="D65" s="2" t="s">
        <v>12</v>
      </c>
      <c r="E65" s="2" t="s">
        <v>137</v>
      </c>
      <c r="F65" s="2" t="s">
        <v>138</v>
      </c>
      <c r="G65">
        <v>4</v>
      </c>
      <c r="H65" s="2" t="s">
        <v>11</v>
      </c>
    </row>
    <row r="66" spans="1:8" x14ac:dyDescent="0.2">
      <c r="A66" s="1">
        <v>46028</v>
      </c>
      <c r="B66" s="1">
        <v>46007</v>
      </c>
      <c r="C66" s="2" t="s">
        <v>134</v>
      </c>
      <c r="D66" s="2" t="s">
        <v>12</v>
      </c>
      <c r="E66" s="2" t="s">
        <v>139</v>
      </c>
      <c r="F66" s="2" t="s">
        <v>140</v>
      </c>
      <c r="G66">
        <v>5</v>
      </c>
      <c r="H66" s="2" t="s">
        <v>11</v>
      </c>
    </row>
    <row r="67" spans="1:8" x14ac:dyDescent="0.2">
      <c r="A67" s="1">
        <v>46028</v>
      </c>
      <c r="B67" s="1">
        <v>46007</v>
      </c>
      <c r="C67" s="2" t="s">
        <v>134</v>
      </c>
      <c r="D67" s="2" t="s">
        <v>12</v>
      </c>
      <c r="E67" s="2" t="s">
        <v>141</v>
      </c>
      <c r="F67" s="2" t="s">
        <v>142</v>
      </c>
      <c r="G67">
        <v>6</v>
      </c>
      <c r="H67" s="2" t="s">
        <v>11</v>
      </c>
    </row>
    <row r="68" spans="1:8" x14ac:dyDescent="0.2">
      <c r="A68" s="1">
        <v>46028</v>
      </c>
      <c r="B68" s="1">
        <v>46007</v>
      </c>
      <c r="C68" s="2" t="s">
        <v>134</v>
      </c>
      <c r="D68" s="2" t="s">
        <v>12</v>
      </c>
      <c r="E68" s="2" t="s">
        <v>143</v>
      </c>
      <c r="F68" s="2" t="s">
        <v>144</v>
      </c>
      <c r="G68">
        <v>7</v>
      </c>
      <c r="H68" s="2" t="s">
        <v>11</v>
      </c>
    </row>
    <row r="69" spans="1:8" x14ac:dyDescent="0.2">
      <c r="A69" s="1">
        <v>46028</v>
      </c>
      <c r="B69" s="1">
        <v>46007</v>
      </c>
      <c r="C69" s="2" t="s">
        <v>134</v>
      </c>
      <c r="D69" s="2" t="s">
        <v>12</v>
      </c>
      <c r="E69" s="2" t="s">
        <v>145</v>
      </c>
      <c r="F69" s="2" t="s">
        <v>146</v>
      </c>
      <c r="G69">
        <v>8</v>
      </c>
      <c r="H69" s="2" t="s">
        <v>11</v>
      </c>
    </row>
    <row r="70" spans="1:8" x14ac:dyDescent="0.2">
      <c r="A70" s="1">
        <v>46028</v>
      </c>
      <c r="B70" s="1">
        <v>46007</v>
      </c>
      <c r="C70" s="2" t="s">
        <v>134</v>
      </c>
      <c r="D70" s="2" t="s">
        <v>12</v>
      </c>
      <c r="E70" s="2" t="s">
        <v>147</v>
      </c>
      <c r="F70" s="2" t="s">
        <v>148</v>
      </c>
      <c r="G70">
        <v>9</v>
      </c>
      <c r="H70" s="2" t="s">
        <v>11</v>
      </c>
    </row>
    <row r="71" spans="1:8" x14ac:dyDescent="0.2">
      <c r="A71" s="1">
        <v>46028</v>
      </c>
      <c r="B71" s="1">
        <v>46007</v>
      </c>
      <c r="C71" s="2" t="s">
        <v>134</v>
      </c>
      <c r="D71" s="2" t="s">
        <v>12</v>
      </c>
      <c r="E71" s="2" t="s">
        <v>149</v>
      </c>
      <c r="F71" s="2" t="s">
        <v>150</v>
      </c>
      <c r="G71">
        <v>10</v>
      </c>
      <c r="H71" s="2" t="s">
        <v>11</v>
      </c>
    </row>
    <row r="72" spans="1:8" x14ac:dyDescent="0.2">
      <c r="A72" s="1">
        <v>46028</v>
      </c>
      <c r="B72" s="1">
        <v>46007</v>
      </c>
      <c r="C72" s="2" t="s">
        <v>134</v>
      </c>
      <c r="D72" s="2" t="s">
        <v>12</v>
      </c>
      <c r="E72" s="2" t="s">
        <v>151</v>
      </c>
      <c r="F72" s="2" t="s">
        <v>152</v>
      </c>
      <c r="G72">
        <v>11</v>
      </c>
      <c r="H72" s="2" t="s">
        <v>11</v>
      </c>
    </row>
    <row r="73" spans="1:8" x14ac:dyDescent="0.2">
      <c r="A73" s="1">
        <v>46028</v>
      </c>
      <c r="B73" s="1">
        <v>46007</v>
      </c>
      <c r="C73" s="2" t="s">
        <v>134</v>
      </c>
      <c r="D73" s="2" t="s">
        <v>12</v>
      </c>
      <c r="E73" s="2" t="s">
        <v>153</v>
      </c>
      <c r="F73" s="2" t="s">
        <v>154</v>
      </c>
      <c r="G73">
        <v>12</v>
      </c>
      <c r="H73" s="2" t="s">
        <v>11</v>
      </c>
    </row>
    <row r="74" spans="1:8" x14ac:dyDescent="0.2">
      <c r="A74" s="1">
        <v>46028</v>
      </c>
      <c r="B74" s="1">
        <v>46007</v>
      </c>
      <c r="C74" s="2" t="s">
        <v>134</v>
      </c>
      <c r="D74" s="2" t="s">
        <v>12</v>
      </c>
      <c r="E74" s="2" t="s">
        <v>155</v>
      </c>
      <c r="F74" s="2" t="s">
        <v>156</v>
      </c>
      <c r="G74">
        <v>13</v>
      </c>
      <c r="H74" s="2" t="s">
        <v>11</v>
      </c>
    </row>
    <row r="75" spans="1:8" x14ac:dyDescent="0.2">
      <c r="A75" s="1">
        <v>46028</v>
      </c>
      <c r="B75" s="1">
        <v>46007</v>
      </c>
      <c r="C75" s="2" t="s">
        <v>134</v>
      </c>
      <c r="D75" s="2" t="s">
        <v>12</v>
      </c>
      <c r="E75" s="2" t="s">
        <v>157</v>
      </c>
      <c r="F75" s="2" t="s">
        <v>158</v>
      </c>
      <c r="G75">
        <v>14</v>
      </c>
      <c r="H75" s="2" t="s">
        <v>11</v>
      </c>
    </row>
    <row r="76" spans="1:8" x14ac:dyDescent="0.2">
      <c r="A76" s="1">
        <v>46028</v>
      </c>
      <c r="B76" s="1">
        <v>46007</v>
      </c>
      <c r="C76" s="2" t="s">
        <v>134</v>
      </c>
      <c r="D76" s="2" t="s">
        <v>12</v>
      </c>
      <c r="E76" s="2" t="s">
        <v>159</v>
      </c>
      <c r="F76" s="2" t="s">
        <v>160</v>
      </c>
      <c r="G76">
        <v>15</v>
      </c>
      <c r="H76" s="2" t="s">
        <v>11</v>
      </c>
    </row>
    <row r="77" spans="1:8" x14ac:dyDescent="0.2">
      <c r="A77" s="1">
        <v>46028</v>
      </c>
      <c r="B77" s="1">
        <v>46007</v>
      </c>
      <c r="C77" s="2" t="s">
        <v>161</v>
      </c>
      <c r="D77" s="2" t="s">
        <v>9</v>
      </c>
      <c r="E77" s="2" t="s">
        <v>38</v>
      </c>
      <c r="F77" s="2" t="s">
        <v>39</v>
      </c>
      <c r="G77">
        <v>1</v>
      </c>
      <c r="H77" s="2" t="s">
        <v>11</v>
      </c>
    </row>
    <row r="78" spans="1:8" x14ac:dyDescent="0.2">
      <c r="A78" s="1">
        <v>46028</v>
      </c>
      <c r="B78" s="1">
        <v>46007</v>
      </c>
      <c r="C78" s="2" t="s">
        <v>161</v>
      </c>
      <c r="D78" s="2" t="s">
        <v>9</v>
      </c>
      <c r="E78" s="2" t="s">
        <v>162</v>
      </c>
      <c r="F78" s="2" t="s">
        <v>163</v>
      </c>
      <c r="G78">
        <v>2</v>
      </c>
      <c r="H78" s="2" t="s">
        <v>24</v>
      </c>
    </row>
    <row r="79" spans="1:8" x14ac:dyDescent="0.2">
      <c r="A79" s="1">
        <v>46028</v>
      </c>
      <c r="B79" s="1">
        <v>46007</v>
      </c>
      <c r="C79" s="2" t="s">
        <v>161</v>
      </c>
      <c r="D79" s="2" t="s">
        <v>9</v>
      </c>
      <c r="E79" s="2" t="s">
        <v>164</v>
      </c>
      <c r="F79" s="2" t="s">
        <v>165</v>
      </c>
      <c r="G79">
        <v>3</v>
      </c>
      <c r="H79" s="2" t="s">
        <v>27</v>
      </c>
    </row>
    <row r="80" spans="1:8" x14ac:dyDescent="0.2">
      <c r="A80" s="1">
        <v>46028</v>
      </c>
      <c r="B80" s="1">
        <v>46007</v>
      </c>
      <c r="C80" s="2" t="s">
        <v>161</v>
      </c>
      <c r="D80" s="2" t="s">
        <v>9</v>
      </c>
      <c r="E80" s="2" t="s">
        <v>166</v>
      </c>
      <c r="F80" s="2" t="s">
        <v>167</v>
      </c>
      <c r="G80">
        <v>4</v>
      </c>
      <c r="H80" s="2" t="s">
        <v>11</v>
      </c>
    </row>
    <row r="81" spans="1:8" x14ac:dyDescent="0.2">
      <c r="A81" s="1">
        <v>46028</v>
      </c>
      <c r="B81" s="1">
        <v>46007</v>
      </c>
      <c r="C81" s="2" t="s">
        <v>161</v>
      </c>
      <c r="D81" s="2" t="s">
        <v>9</v>
      </c>
      <c r="E81" s="2" t="s">
        <v>168</v>
      </c>
      <c r="F81" s="2" t="s">
        <v>169</v>
      </c>
      <c r="G81">
        <v>5</v>
      </c>
      <c r="H81" s="2" t="s">
        <v>11</v>
      </c>
    </row>
    <row r="82" spans="1:8" x14ac:dyDescent="0.2">
      <c r="A82" s="1">
        <v>46028</v>
      </c>
      <c r="B82" s="1">
        <v>46007</v>
      </c>
      <c r="C82" s="2" t="s">
        <v>161</v>
      </c>
      <c r="D82" s="2" t="s">
        <v>9</v>
      </c>
      <c r="E82" s="2" t="s">
        <v>170</v>
      </c>
      <c r="F82" s="2" t="s">
        <v>171</v>
      </c>
      <c r="G82">
        <v>6</v>
      </c>
      <c r="H82" s="2" t="s">
        <v>11</v>
      </c>
    </row>
    <row r="83" spans="1:8" x14ac:dyDescent="0.2">
      <c r="A83" s="1">
        <v>46028</v>
      </c>
      <c r="B83" s="1">
        <v>46007</v>
      </c>
      <c r="C83" s="2" t="s">
        <v>161</v>
      </c>
      <c r="D83" s="2" t="s">
        <v>9</v>
      </c>
      <c r="E83" s="2" t="s">
        <v>172</v>
      </c>
      <c r="F83" s="2" t="s">
        <v>173</v>
      </c>
      <c r="G83">
        <v>7</v>
      </c>
      <c r="H83" s="2" t="s">
        <v>11</v>
      </c>
    </row>
    <row r="84" spans="1:8" x14ac:dyDescent="0.2">
      <c r="A84" s="1">
        <v>46028</v>
      </c>
      <c r="B84" s="1">
        <v>46007</v>
      </c>
      <c r="C84" s="2" t="s">
        <v>161</v>
      </c>
      <c r="D84" s="2" t="s">
        <v>9</v>
      </c>
      <c r="E84" s="2" t="s">
        <v>174</v>
      </c>
      <c r="F84" s="2" t="s">
        <v>175</v>
      </c>
      <c r="G84">
        <v>8</v>
      </c>
      <c r="H84" s="2" t="s">
        <v>11</v>
      </c>
    </row>
    <row r="85" spans="1:8" x14ac:dyDescent="0.2">
      <c r="A85" s="1">
        <v>46028</v>
      </c>
      <c r="B85" s="1">
        <v>46007</v>
      </c>
      <c r="C85" s="2" t="s">
        <v>161</v>
      </c>
      <c r="D85" s="2" t="s">
        <v>9</v>
      </c>
      <c r="E85" s="2" t="s">
        <v>176</v>
      </c>
      <c r="F85" s="2" t="s">
        <v>177</v>
      </c>
      <c r="G85">
        <v>9</v>
      </c>
      <c r="H85" s="2" t="s">
        <v>11</v>
      </c>
    </row>
    <row r="86" spans="1:8" x14ac:dyDescent="0.2">
      <c r="A86" s="1">
        <v>46028</v>
      </c>
      <c r="B86" s="1">
        <v>46007</v>
      </c>
      <c r="C86" s="2" t="s">
        <v>161</v>
      </c>
      <c r="D86" s="2" t="s">
        <v>9</v>
      </c>
      <c r="E86" s="2" t="s">
        <v>178</v>
      </c>
      <c r="F86" s="2" t="s">
        <v>179</v>
      </c>
      <c r="G86">
        <v>10</v>
      </c>
      <c r="H86" s="2" t="s">
        <v>11</v>
      </c>
    </row>
    <row r="87" spans="1:8" x14ac:dyDescent="0.2">
      <c r="A87" s="1">
        <v>46028</v>
      </c>
      <c r="B87" s="1">
        <v>46007</v>
      </c>
      <c r="C87" s="2" t="s">
        <v>161</v>
      </c>
      <c r="D87" s="2" t="s">
        <v>9</v>
      </c>
      <c r="E87" s="2" t="s">
        <v>180</v>
      </c>
      <c r="F87" s="2" t="s">
        <v>181</v>
      </c>
      <c r="G87">
        <v>11</v>
      </c>
      <c r="H87" s="2" t="s">
        <v>11</v>
      </c>
    </row>
    <row r="88" spans="1:8" x14ac:dyDescent="0.2">
      <c r="A88" s="1">
        <v>46028</v>
      </c>
      <c r="B88" s="1">
        <v>46007</v>
      </c>
      <c r="C88" s="2" t="s">
        <v>161</v>
      </c>
      <c r="D88" s="2" t="s">
        <v>9</v>
      </c>
      <c r="E88" s="2" t="s">
        <v>182</v>
      </c>
      <c r="F88" s="2" t="s">
        <v>183</v>
      </c>
      <c r="G88">
        <v>12</v>
      </c>
      <c r="H88" s="2" t="s">
        <v>11</v>
      </c>
    </row>
    <row r="89" spans="1:8" x14ac:dyDescent="0.2">
      <c r="A89" s="1">
        <v>46028</v>
      </c>
      <c r="B89" s="1">
        <v>46007</v>
      </c>
      <c r="C89" s="2" t="s">
        <v>161</v>
      </c>
      <c r="D89" s="2" t="s">
        <v>9</v>
      </c>
      <c r="E89" s="2" t="s">
        <v>184</v>
      </c>
      <c r="F89" s="2" t="s">
        <v>185</v>
      </c>
      <c r="G89">
        <v>13</v>
      </c>
      <c r="H89" s="2" t="s">
        <v>24</v>
      </c>
    </row>
    <row r="90" spans="1:8" x14ac:dyDescent="0.2">
      <c r="A90" s="1">
        <v>46028</v>
      </c>
      <c r="B90" s="1">
        <v>46007</v>
      </c>
      <c r="C90" s="2" t="s">
        <v>161</v>
      </c>
      <c r="D90" s="2" t="s">
        <v>9</v>
      </c>
      <c r="E90" s="2" t="s">
        <v>186</v>
      </c>
      <c r="F90" s="2" t="s">
        <v>187</v>
      </c>
      <c r="G90">
        <v>14</v>
      </c>
      <c r="H90" s="2" t="s">
        <v>27</v>
      </c>
    </row>
    <row r="91" spans="1:8" x14ac:dyDescent="0.2">
      <c r="A91" s="1">
        <v>46028</v>
      </c>
      <c r="B91" s="1">
        <v>46007</v>
      </c>
      <c r="C91" s="2" t="s">
        <v>161</v>
      </c>
      <c r="D91" s="2" t="s">
        <v>9</v>
      </c>
      <c r="E91" s="2" t="s">
        <v>188</v>
      </c>
      <c r="F91" s="2" t="s">
        <v>189</v>
      </c>
      <c r="G91">
        <v>15</v>
      </c>
      <c r="H91" s="2" t="s">
        <v>11</v>
      </c>
    </row>
    <row r="92" spans="1:8" x14ac:dyDescent="0.2">
      <c r="A92" s="1">
        <v>46028</v>
      </c>
      <c r="B92" s="1">
        <v>46007</v>
      </c>
      <c r="C92" s="2" t="s">
        <v>190</v>
      </c>
      <c r="D92" s="2" t="s">
        <v>14</v>
      </c>
      <c r="E92" s="2" t="s">
        <v>32</v>
      </c>
      <c r="F92" s="2" t="s">
        <v>33</v>
      </c>
      <c r="G92">
        <v>1</v>
      </c>
      <c r="H92" s="2" t="s">
        <v>11</v>
      </c>
    </row>
    <row r="93" spans="1:8" x14ac:dyDescent="0.2">
      <c r="A93" s="1">
        <v>46028</v>
      </c>
      <c r="B93" s="1">
        <v>46007</v>
      </c>
      <c r="C93" s="2" t="s">
        <v>190</v>
      </c>
      <c r="D93" s="2" t="s">
        <v>14</v>
      </c>
      <c r="E93" s="2" t="s">
        <v>191</v>
      </c>
      <c r="F93" s="2" t="s">
        <v>192</v>
      </c>
      <c r="G93">
        <v>2</v>
      </c>
      <c r="H93" s="2" t="s">
        <v>11</v>
      </c>
    </row>
    <row r="94" spans="1:8" x14ac:dyDescent="0.2">
      <c r="A94" s="1">
        <v>46028</v>
      </c>
      <c r="B94" s="1">
        <v>46007</v>
      </c>
      <c r="C94" s="2" t="s">
        <v>190</v>
      </c>
      <c r="D94" s="2" t="s">
        <v>14</v>
      </c>
      <c r="E94" s="2" t="s">
        <v>193</v>
      </c>
      <c r="F94" s="2" t="s">
        <v>194</v>
      </c>
      <c r="G94">
        <v>3</v>
      </c>
      <c r="H94" s="2" t="s">
        <v>11</v>
      </c>
    </row>
    <row r="95" spans="1:8" x14ac:dyDescent="0.2">
      <c r="A95" s="1">
        <v>46028</v>
      </c>
      <c r="B95" s="1">
        <v>46007</v>
      </c>
      <c r="C95" s="2" t="s">
        <v>190</v>
      </c>
      <c r="D95" s="2" t="s">
        <v>14</v>
      </c>
      <c r="E95" s="2" t="s">
        <v>195</v>
      </c>
      <c r="F95" s="2" t="s">
        <v>196</v>
      </c>
      <c r="G95">
        <v>4</v>
      </c>
      <c r="H95" s="2" t="s">
        <v>11</v>
      </c>
    </row>
    <row r="96" spans="1:8" x14ac:dyDescent="0.2">
      <c r="A96" s="1">
        <v>46028</v>
      </c>
      <c r="B96" s="1">
        <v>46007</v>
      </c>
      <c r="C96" s="2" t="s">
        <v>190</v>
      </c>
      <c r="D96" s="2" t="s">
        <v>14</v>
      </c>
      <c r="E96" s="2" t="s">
        <v>197</v>
      </c>
      <c r="F96" s="2" t="s">
        <v>198</v>
      </c>
      <c r="G96">
        <v>5</v>
      </c>
      <c r="H96" s="2" t="s">
        <v>11</v>
      </c>
    </row>
    <row r="97" spans="1:8" x14ac:dyDescent="0.2">
      <c r="A97" s="1">
        <v>46028</v>
      </c>
      <c r="B97" s="1">
        <v>46007</v>
      </c>
      <c r="C97" s="2" t="s">
        <v>190</v>
      </c>
      <c r="D97" s="2" t="s">
        <v>14</v>
      </c>
      <c r="E97" s="2" t="s">
        <v>199</v>
      </c>
      <c r="F97" s="2" t="s">
        <v>200</v>
      </c>
      <c r="G97">
        <v>6</v>
      </c>
      <c r="H97" s="2" t="s">
        <v>11</v>
      </c>
    </row>
    <row r="98" spans="1:8" x14ac:dyDescent="0.2">
      <c r="A98" s="1">
        <v>46028</v>
      </c>
      <c r="B98" s="1">
        <v>46007</v>
      </c>
      <c r="C98" s="2" t="s">
        <v>190</v>
      </c>
      <c r="D98" s="2" t="s">
        <v>14</v>
      </c>
      <c r="E98" s="2" t="s">
        <v>201</v>
      </c>
      <c r="F98" s="2" t="s">
        <v>202</v>
      </c>
      <c r="G98">
        <v>7</v>
      </c>
      <c r="H98" s="2" t="s">
        <v>11</v>
      </c>
    </row>
    <row r="99" spans="1:8" x14ac:dyDescent="0.2">
      <c r="A99" s="1">
        <v>46028</v>
      </c>
      <c r="B99" s="1">
        <v>46007</v>
      </c>
      <c r="C99" s="2" t="s">
        <v>190</v>
      </c>
      <c r="D99" s="2" t="s">
        <v>14</v>
      </c>
      <c r="E99" s="2" t="s">
        <v>203</v>
      </c>
      <c r="F99" s="2" t="s">
        <v>204</v>
      </c>
      <c r="G99">
        <v>8</v>
      </c>
      <c r="H99" s="2" t="s">
        <v>11</v>
      </c>
    </row>
    <row r="100" spans="1:8" x14ac:dyDescent="0.2">
      <c r="A100" s="1">
        <v>46028</v>
      </c>
      <c r="B100" s="1">
        <v>46007</v>
      </c>
      <c r="C100" s="2" t="s">
        <v>190</v>
      </c>
      <c r="D100" s="2" t="s">
        <v>14</v>
      </c>
      <c r="E100" s="2" t="s">
        <v>205</v>
      </c>
      <c r="F100" s="2" t="s">
        <v>206</v>
      </c>
      <c r="G100">
        <v>9</v>
      </c>
      <c r="H100" s="2" t="s">
        <v>11</v>
      </c>
    </row>
    <row r="101" spans="1:8" x14ac:dyDescent="0.2">
      <c r="A101" s="1">
        <v>46028</v>
      </c>
      <c r="B101" s="1">
        <v>46007</v>
      </c>
      <c r="C101" s="2" t="s">
        <v>190</v>
      </c>
      <c r="D101" s="2" t="s">
        <v>14</v>
      </c>
      <c r="E101" s="2" t="s">
        <v>207</v>
      </c>
      <c r="F101" s="2" t="s">
        <v>208</v>
      </c>
      <c r="G101">
        <v>10</v>
      </c>
      <c r="H101" s="2" t="s">
        <v>11</v>
      </c>
    </row>
    <row r="102" spans="1:8" x14ac:dyDescent="0.2">
      <c r="A102" s="1">
        <v>46028</v>
      </c>
      <c r="B102" s="1">
        <v>46007</v>
      </c>
      <c r="C102" s="2" t="s">
        <v>190</v>
      </c>
      <c r="D102" s="2" t="s">
        <v>14</v>
      </c>
      <c r="E102" s="2" t="s">
        <v>209</v>
      </c>
      <c r="F102" s="2" t="s">
        <v>210</v>
      </c>
      <c r="G102">
        <v>10</v>
      </c>
      <c r="H102" s="2" t="s">
        <v>11</v>
      </c>
    </row>
    <row r="103" spans="1:8" x14ac:dyDescent="0.2">
      <c r="A103" s="1">
        <v>46028</v>
      </c>
      <c r="B103" s="1">
        <v>46007</v>
      </c>
      <c r="C103" s="2" t="s">
        <v>190</v>
      </c>
      <c r="D103" s="2" t="s">
        <v>14</v>
      </c>
      <c r="E103" s="2" t="s">
        <v>211</v>
      </c>
      <c r="F103" s="2" t="s">
        <v>212</v>
      </c>
      <c r="G103">
        <v>12</v>
      </c>
      <c r="H103" s="2" t="s">
        <v>11</v>
      </c>
    </row>
    <row r="104" spans="1:8" x14ac:dyDescent="0.2">
      <c r="A104" s="1">
        <v>46028</v>
      </c>
      <c r="B104" s="1">
        <v>46007</v>
      </c>
      <c r="C104" s="2" t="s">
        <v>190</v>
      </c>
      <c r="D104" s="2" t="s">
        <v>14</v>
      </c>
      <c r="E104" s="2" t="s">
        <v>213</v>
      </c>
      <c r="F104" s="2" t="s">
        <v>214</v>
      </c>
      <c r="G104">
        <v>13</v>
      </c>
      <c r="H104" s="2" t="s">
        <v>11</v>
      </c>
    </row>
    <row r="105" spans="1:8" x14ac:dyDescent="0.2">
      <c r="A105" s="1">
        <v>46028</v>
      </c>
      <c r="B105" s="1">
        <v>46007</v>
      </c>
      <c r="C105" s="2" t="s">
        <v>190</v>
      </c>
      <c r="D105" s="2" t="s">
        <v>14</v>
      </c>
      <c r="E105" s="2" t="s">
        <v>215</v>
      </c>
      <c r="F105" s="2" t="s">
        <v>216</v>
      </c>
      <c r="G105">
        <v>14</v>
      </c>
      <c r="H105" s="2" t="s">
        <v>11</v>
      </c>
    </row>
    <row r="106" spans="1:8" x14ac:dyDescent="0.2">
      <c r="A106" s="1">
        <v>46028</v>
      </c>
      <c r="B106" s="1">
        <v>46007</v>
      </c>
      <c r="C106" s="2" t="s">
        <v>190</v>
      </c>
      <c r="D106" s="2" t="s">
        <v>14</v>
      </c>
      <c r="E106" s="2" t="s">
        <v>217</v>
      </c>
      <c r="F106" s="2" t="s">
        <v>218</v>
      </c>
      <c r="G106">
        <v>15</v>
      </c>
      <c r="H106" s="2" t="s">
        <v>11</v>
      </c>
    </row>
    <row r="107" spans="1:8" x14ac:dyDescent="0.2">
      <c r="A107" s="1">
        <v>46028</v>
      </c>
      <c r="B107" s="1">
        <v>46007</v>
      </c>
      <c r="C107" s="2" t="s">
        <v>219</v>
      </c>
      <c r="D107" s="2" t="s">
        <v>16</v>
      </c>
      <c r="E107" s="2" t="s">
        <v>36</v>
      </c>
      <c r="F107" s="2" t="s">
        <v>37</v>
      </c>
      <c r="G107">
        <v>1</v>
      </c>
      <c r="H107" s="2" t="s">
        <v>11</v>
      </c>
    </row>
    <row r="108" spans="1:8" x14ac:dyDescent="0.2">
      <c r="A108" s="1">
        <v>46028</v>
      </c>
      <c r="B108" s="1">
        <v>46007</v>
      </c>
      <c r="C108" s="2" t="s">
        <v>219</v>
      </c>
      <c r="D108" s="2" t="s">
        <v>16</v>
      </c>
      <c r="E108" s="2" t="s">
        <v>220</v>
      </c>
      <c r="F108" s="2" t="s">
        <v>221</v>
      </c>
      <c r="G108">
        <v>1</v>
      </c>
      <c r="H108" s="2" t="s">
        <v>11</v>
      </c>
    </row>
    <row r="109" spans="1:8" x14ac:dyDescent="0.2">
      <c r="A109" s="1">
        <v>46028</v>
      </c>
      <c r="B109" s="1">
        <v>46007</v>
      </c>
      <c r="C109" s="2" t="s">
        <v>219</v>
      </c>
      <c r="D109" s="2" t="s">
        <v>16</v>
      </c>
      <c r="E109" s="2" t="s">
        <v>222</v>
      </c>
      <c r="F109" s="2" t="s">
        <v>223</v>
      </c>
      <c r="G109">
        <v>3</v>
      </c>
      <c r="H109" s="2" t="s">
        <v>11</v>
      </c>
    </row>
    <row r="110" spans="1:8" x14ac:dyDescent="0.2">
      <c r="A110" s="1">
        <v>46028</v>
      </c>
      <c r="B110" s="1">
        <v>46007</v>
      </c>
      <c r="C110" s="2" t="s">
        <v>219</v>
      </c>
      <c r="D110" s="2" t="s">
        <v>16</v>
      </c>
      <c r="E110" s="2" t="s">
        <v>224</v>
      </c>
      <c r="F110" s="2" t="s">
        <v>225</v>
      </c>
      <c r="G110">
        <v>4</v>
      </c>
      <c r="H110" s="2" t="s">
        <v>11</v>
      </c>
    </row>
    <row r="111" spans="1:8" x14ac:dyDescent="0.2">
      <c r="A111" s="1">
        <v>46028</v>
      </c>
      <c r="B111" s="1">
        <v>46007</v>
      </c>
      <c r="C111" s="2" t="s">
        <v>219</v>
      </c>
      <c r="D111" s="2" t="s">
        <v>16</v>
      </c>
      <c r="E111" s="2" t="s">
        <v>226</v>
      </c>
      <c r="F111" s="2" t="s">
        <v>227</v>
      </c>
      <c r="G111">
        <v>5</v>
      </c>
      <c r="H111" s="2" t="s">
        <v>11</v>
      </c>
    </row>
    <row r="112" spans="1:8" x14ac:dyDescent="0.2">
      <c r="A112" s="1">
        <v>46028</v>
      </c>
      <c r="B112" s="1">
        <v>46007</v>
      </c>
      <c r="C112" s="2" t="s">
        <v>219</v>
      </c>
      <c r="D112" s="2" t="s">
        <v>16</v>
      </c>
      <c r="E112" s="2" t="s">
        <v>228</v>
      </c>
      <c r="F112" s="2" t="s">
        <v>229</v>
      </c>
      <c r="G112">
        <v>6</v>
      </c>
      <c r="H112" s="2" t="s">
        <v>11</v>
      </c>
    </row>
    <row r="113" spans="1:8" x14ac:dyDescent="0.2">
      <c r="A113" s="1">
        <v>46028</v>
      </c>
      <c r="B113" s="1">
        <v>46007</v>
      </c>
      <c r="C113" s="2" t="s">
        <v>219</v>
      </c>
      <c r="D113" s="2" t="s">
        <v>16</v>
      </c>
      <c r="E113" s="2" t="s">
        <v>230</v>
      </c>
      <c r="F113" s="2" t="s">
        <v>231</v>
      </c>
      <c r="G113">
        <v>7</v>
      </c>
      <c r="H113" s="2" t="s">
        <v>11</v>
      </c>
    </row>
    <row r="114" spans="1:8" x14ac:dyDescent="0.2">
      <c r="A114" s="1">
        <v>46028</v>
      </c>
      <c r="B114" s="1">
        <v>46007</v>
      </c>
      <c r="C114" s="2" t="s">
        <v>219</v>
      </c>
      <c r="D114" s="2" t="s">
        <v>16</v>
      </c>
      <c r="E114" s="2" t="s">
        <v>232</v>
      </c>
      <c r="F114" s="2" t="s">
        <v>233</v>
      </c>
      <c r="G114">
        <v>8</v>
      </c>
      <c r="H114" s="2" t="s">
        <v>11</v>
      </c>
    </row>
    <row r="115" spans="1:8" x14ac:dyDescent="0.2">
      <c r="A115" s="1">
        <v>46028</v>
      </c>
      <c r="B115" s="1">
        <v>46007</v>
      </c>
      <c r="C115" s="2" t="s">
        <v>219</v>
      </c>
      <c r="D115" s="2" t="s">
        <v>16</v>
      </c>
      <c r="E115" s="2" t="s">
        <v>234</v>
      </c>
      <c r="F115" s="2" t="s">
        <v>235</v>
      </c>
      <c r="G115">
        <v>9</v>
      </c>
      <c r="H115" s="2" t="s">
        <v>11</v>
      </c>
    </row>
    <row r="116" spans="1:8" x14ac:dyDescent="0.2">
      <c r="A116" s="1">
        <v>46028</v>
      </c>
      <c r="B116" s="1">
        <v>46007</v>
      </c>
      <c r="C116" s="2" t="s">
        <v>219</v>
      </c>
      <c r="D116" s="2" t="s">
        <v>16</v>
      </c>
      <c r="E116" s="2" t="s">
        <v>236</v>
      </c>
      <c r="F116" s="2" t="s">
        <v>237</v>
      </c>
      <c r="G116">
        <v>10</v>
      </c>
      <c r="H116" s="2" t="s">
        <v>11</v>
      </c>
    </row>
    <row r="117" spans="1:8" x14ac:dyDescent="0.2">
      <c r="A117" s="1">
        <v>46028</v>
      </c>
      <c r="B117" s="1">
        <v>46007</v>
      </c>
      <c r="C117" s="2" t="s">
        <v>219</v>
      </c>
      <c r="D117" s="2" t="s">
        <v>16</v>
      </c>
      <c r="E117" s="2" t="s">
        <v>238</v>
      </c>
      <c r="F117" s="2" t="s">
        <v>239</v>
      </c>
      <c r="G117">
        <v>11</v>
      </c>
      <c r="H117" s="2" t="s">
        <v>11</v>
      </c>
    </row>
    <row r="118" spans="1:8" x14ac:dyDescent="0.2">
      <c r="A118" s="1">
        <v>46028</v>
      </c>
      <c r="B118" s="1">
        <v>46007</v>
      </c>
      <c r="C118" s="2" t="s">
        <v>219</v>
      </c>
      <c r="D118" s="2" t="s">
        <v>16</v>
      </c>
      <c r="E118" s="2" t="s">
        <v>240</v>
      </c>
      <c r="F118" s="2" t="s">
        <v>241</v>
      </c>
      <c r="G118">
        <v>12</v>
      </c>
      <c r="H118" s="2" t="s">
        <v>11</v>
      </c>
    </row>
    <row r="119" spans="1:8" x14ac:dyDescent="0.2">
      <c r="A119" s="1">
        <v>46028</v>
      </c>
      <c r="B119" s="1">
        <v>46007</v>
      </c>
      <c r="C119" s="2" t="s">
        <v>219</v>
      </c>
      <c r="D119" s="2" t="s">
        <v>16</v>
      </c>
      <c r="E119" s="2" t="s">
        <v>242</v>
      </c>
      <c r="F119" s="2" t="s">
        <v>243</v>
      </c>
      <c r="G119">
        <v>13</v>
      </c>
      <c r="H119" s="2" t="s">
        <v>11</v>
      </c>
    </row>
    <row r="120" spans="1:8" x14ac:dyDescent="0.2">
      <c r="A120" s="1">
        <v>46028</v>
      </c>
      <c r="B120" s="1">
        <v>46007</v>
      </c>
      <c r="C120" s="2" t="s">
        <v>219</v>
      </c>
      <c r="D120" s="2" t="s">
        <v>16</v>
      </c>
      <c r="E120" s="2" t="s">
        <v>244</v>
      </c>
      <c r="F120" s="2" t="s">
        <v>245</v>
      </c>
      <c r="G120">
        <v>14</v>
      </c>
      <c r="H120" s="2" t="s">
        <v>11</v>
      </c>
    </row>
    <row r="121" spans="1:8" x14ac:dyDescent="0.2">
      <c r="A121" s="1">
        <v>46028</v>
      </c>
      <c r="B121" s="1">
        <v>46007</v>
      </c>
      <c r="C121" s="2" t="s">
        <v>219</v>
      </c>
      <c r="D121" s="2" t="s">
        <v>16</v>
      </c>
      <c r="E121" s="2" t="s">
        <v>246</v>
      </c>
      <c r="F121" s="2" t="s">
        <v>247</v>
      </c>
      <c r="G121">
        <v>15</v>
      </c>
      <c r="H121" s="2" t="s">
        <v>11</v>
      </c>
    </row>
    <row r="122" spans="1:8" x14ac:dyDescent="0.2">
      <c r="A122" s="1">
        <v>46028</v>
      </c>
      <c r="B122" s="1">
        <v>46007</v>
      </c>
      <c r="C122" s="2" t="s">
        <v>248</v>
      </c>
      <c r="D122" s="2" t="s">
        <v>25</v>
      </c>
      <c r="E122" s="2" t="s">
        <v>249</v>
      </c>
      <c r="F122" s="2" t="s">
        <v>250</v>
      </c>
      <c r="G122">
        <v>1</v>
      </c>
      <c r="H122" s="2" t="s">
        <v>11</v>
      </c>
    </row>
    <row r="123" spans="1:8" x14ac:dyDescent="0.2">
      <c r="A123" s="1">
        <v>46028</v>
      </c>
      <c r="B123" s="1">
        <v>46007</v>
      </c>
      <c r="C123" s="2" t="s">
        <v>248</v>
      </c>
      <c r="D123" s="2" t="s">
        <v>25</v>
      </c>
      <c r="E123" s="2" t="s">
        <v>251</v>
      </c>
      <c r="F123" s="2" t="s">
        <v>252</v>
      </c>
      <c r="G123">
        <v>2</v>
      </c>
      <c r="H123" s="2" t="s">
        <v>11</v>
      </c>
    </row>
    <row r="124" spans="1:8" x14ac:dyDescent="0.2">
      <c r="A124" s="1">
        <v>46028</v>
      </c>
      <c r="B124" s="1">
        <v>46007</v>
      </c>
      <c r="C124" s="2" t="s">
        <v>248</v>
      </c>
      <c r="D124" s="2" t="s">
        <v>25</v>
      </c>
      <c r="E124" s="2" t="s">
        <v>253</v>
      </c>
      <c r="F124" s="2" t="s">
        <v>254</v>
      </c>
      <c r="G124">
        <v>3</v>
      </c>
      <c r="H124" s="2" t="s">
        <v>11</v>
      </c>
    </row>
    <row r="125" spans="1:8" x14ac:dyDescent="0.2">
      <c r="A125" s="1">
        <v>46028</v>
      </c>
      <c r="B125" s="1">
        <v>46007</v>
      </c>
      <c r="C125" s="2" t="s">
        <v>248</v>
      </c>
      <c r="D125" s="2" t="s">
        <v>25</v>
      </c>
      <c r="E125" s="2" t="s">
        <v>255</v>
      </c>
      <c r="F125" s="2" t="s">
        <v>256</v>
      </c>
      <c r="G125">
        <v>4</v>
      </c>
      <c r="H125" s="2" t="s">
        <v>11</v>
      </c>
    </row>
    <row r="126" spans="1:8" x14ac:dyDescent="0.2">
      <c r="A126" s="1">
        <v>46028</v>
      </c>
      <c r="B126" s="1">
        <v>46007</v>
      </c>
      <c r="C126" s="2" t="s">
        <v>248</v>
      </c>
      <c r="D126" s="2" t="s">
        <v>25</v>
      </c>
      <c r="E126" s="2" t="s">
        <v>257</v>
      </c>
      <c r="F126" s="2" t="s">
        <v>258</v>
      </c>
      <c r="G126">
        <v>5</v>
      </c>
      <c r="H126" s="2" t="s">
        <v>11</v>
      </c>
    </row>
    <row r="127" spans="1:8" x14ac:dyDescent="0.2">
      <c r="A127" s="1">
        <v>46028</v>
      </c>
      <c r="B127" s="1">
        <v>46007</v>
      </c>
      <c r="C127" s="2" t="s">
        <v>248</v>
      </c>
      <c r="D127" s="2" t="s">
        <v>25</v>
      </c>
      <c r="E127" s="2" t="s">
        <v>259</v>
      </c>
      <c r="F127" s="2" t="s">
        <v>260</v>
      </c>
      <c r="G127">
        <v>6</v>
      </c>
      <c r="H127" s="2" t="s">
        <v>11</v>
      </c>
    </row>
    <row r="128" spans="1:8" x14ac:dyDescent="0.2">
      <c r="A128" s="1">
        <v>46028</v>
      </c>
      <c r="B128" s="1">
        <v>46007</v>
      </c>
      <c r="C128" s="2" t="s">
        <v>248</v>
      </c>
      <c r="D128" s="2" t="s">
        <v>25</v>
      </c>
      <c r="E128" s="2" t="s">
        <v>261</v>
      </c>
      <c r="F128" s="2" t="s">
        <v>262</v>
      </c>
      <c r="G128">
        <v>7</v>
      </c>
      <c r="H128" s="2" t="s">
        <v>11</v>
      </c>
    </row>
    <row r="129" spans="1:8" x14ac:dyDescent="0.2">
      <c r="A129" s="1">
        <v>46028</v>
      </c>
      <c r="B129" s="1">
        <v>46007</v>
      </c>
      <c r="C129" s="2" t="s">
        <v>248</v>
      </c>
      <c r="D129" s="2" t="s">
        <v>25</v>
      </c>
      <c r="E129" s="2" t="s">
        <v>263</v>
      </c>
      <c r="F129" s="2" t="s">
        <v>264</v>
      </c>
      <c r="G129">
        <v>8</v>
      </c>
      <c r="H129" s="2" t="s">
        <v>11</v>
      </c>
    </row>
    <row r="130" spans="1:8" x14ac:dyDescent="0.2">
      <c r="A130" s="1">
        <v>46028</v>
      </c>
      <c r="B130" s="1">
        <v>46007</v>
      </c>
      <c r="C130" s="2" t="s">
        <v>248</v>
      </c>
      <c r="D130" s="2" t="s">
        <v>25</v>
      </c>
      <c r="E130" s="2" t="s">
        <v>265</v>
      </c>
      <c r="F130" s="2" t="s">
        <v>266</v>
      </c>
      <c r="G130">
        <v>9</v>
      </c>
      <c r="H130" s="2" t="s">
        <v>11</v>
      </c>
    </row>
    <row r="131" spans="1:8" x14ac:dyDescent="0.2">
      <c r="A131" s="1">
        <v>46028</v>
      </c>
      <c r="B131" s="1">
        <v>46007</v>
      </c>
      <c r="C131" s="2" t="s">
        <v>248</v>
      </c>
      <c r="D131" s="2" t="s">
        <v>25</v>
      </c>
      <c r="E131" s="2" t="s">
        <v>267</v>
      </c>
      <c r="F131" s="2" t="s">
        <v>268</v>
      </c>
      <c r="G131">
        <v>10</v>
      </c>
      <c r="H131" s="2" t="s">
        <v>11</v>
      </c>
    </row>
    <row r="132" spans="1:8" x14ac:dyDescent="0.2">
      <c r="A132" s="1">
        <v>46028</v>
      </c>
      <c r="B132" s="1">
        <v>46007</v>
      </c>
      <c r="C132" s="2" t="s">
        <v>248</v>
      </c>
      <c r="D132" s="2" t="s">
        <v>25</v>
      </c>
      <c r="E132" s="2" t="s">
        <v>269</v>
      </c>
      <c r="F132" s="2" t="s">
        <v>270</v>
      </c>
      <c r="G132">
        <v>11</v>
      </c>
      <c r="H132" s="2" t="s">
        <v>11</v>
      </c>
    </row>
    <row r="133" spans="1:8" x14ac:dyDescent="0.2">
      <c r="A133" s="1">
        <v>46028</v>
      </c>
      <c r="B133" s="1">
        <v>46007</v>
      </c>
      <c r="C133" s="2" t="s">
        <v>248</v>
      </c>
      <c r="D133" s="2" t="s">
        <v>25</v>
      </c>
      <c r="E133" s="2" t="s">
        <v>271</v>
      </c>
      <c r="F133" s="2" t="s">
        <v>272</v>
      </c>
      <c r="G133">
        <v>12</v>
      </c>
      <c r="H133" s="2" t="s">
        <v>11</v>
      </c>
    </row>
    <row r="134" spans="1:8" x14ac:dyDescent="0.2">
      <c r="A134" s="1">
        <v>46028</v>
      </c>
      <c r="B134" s="1">
        <v>46007</v>
      </c>
      <c r="C134" s="2" t="s">
        <v>248</v>
      </c>
      <c r="D134" s="2" t="s">
        <v>25</v>
      </c>
      <c r="E134" s="2" t="s">
        <v>273</v>
      </c>
      <c r="F134" s="2" t="s">
        <v>274</v>
      </c>
      <c r="G134">
        <v>13</v>
      </c>
      <c r="H134" s="2" t="s">
        <v>11</v>
      </c>
    </row>
    <row r="135" spans="1:8" x14ac:dyDescent="0.2">
      <c r="A135" s="1">
        <v>46028</v>
      </c>
      <c r="B135" s="1">
        <v>46007</v>
      </c>
      <c r="C135" s="2" t="s">
        <v>248</v>
      </c>
      <c r="D135" s="2" t="s">
        <v>25</v>
      </c>
      <c r="E135" s="2" t="s">
        <v>275</v>
      </c>
      <c r="F135" s="2" t="s">
        <v>276</v>
      </c>
      <c r="G135">
        <v>14</v>
      </c>
      <c r="H135" s="2" t="s">
        <v>11</v>
      </c>
    </row>
    <row r="136" spans="1:8" x14ac:dyDescent="0.2">
      <c r="A136" s="1">
        <v>46028</v>
      </c>
      <c r="B136" s="1">
        <v>46007</v>
      </c>
      <c r="C136" s="2" t="s">
        <v>248</v>
      </c>
      <c r="D136" s="2" t="s">
        <v>25</v>
      </c>
      <c r="E136" s="2" t="s">
        <v>277</v>
      </c>
      <c r="F136" s="2" t="s">
        <v>278</v>
      </c>
      <c r="G136">
        <v>15</v>
      </c>
      <c r="H136" s="2" t="s">
        <v>11</v>
      </c>
    </row>
    <row r="137" spans="1:8" x14ac:dyDescent="0.2">
      <c r="A137" s="1">
        <v>46028</v>
      </c>
      <c r="B137" s="1">
        <v>46007</v>
      </c>
      <c r="C137" s="2" t="s">
        <v>279</v>
      </c>
      <c r="D137" s="2" t="s">
        <v>280</v>
      </c>
      <c r="E137" s="2" t="s">
        <v>280</v>
      </c>
      <c r="F137" s="2" t="s">
        <v>281</v>
      </c>
      <c r="G137">
        <v>1</v>
      </c>
      <c r="H137" s="2" t="s">
        <v>11</v>
      </c>
    </row>
    <row r="138" spans="1:8" x14ac:dyDescent="0.2">
      <c r="A138" s="1">
        <v>46028</v>
      </c>
      <c r="B138" s="1">
        <v>46007</v>
      </c>
      <c r="C138" s="2" t="s">
        <v>279</v>
      </c>
      <c r="D138" s="2" t="s">
        <v>280</v>
      </c>
      <c r="E138" s="2" t="s">
        <v>282</v>
      </c>
      <c r="F138" s="2" t="s">
        <v>283</v>
      </c>
      <c r="G138">
        <v>2</v>
      </c>
      <c r="H138" s="2" t="s">
        <v>11</v>
      </c>
    </row>
    <row r="139" spans="1:8" x14ac:dyDescent="0.2">
      <c r="A139" s="1">
        <v>46028</v>
      </c>
      <c r="B139" s="1">
        <v>46007</v>
      </c>
      <c r="C139" s="2" t="s">
        <v>279</v>
      </c>
      <c r="D139" s="2" t="s">
        <v>280</v>
      </c>
      <c r="E139" s="2" t="s">
        <v>284</v>
      </c>
      <c r="F139" s="2" t="s">
        <v>285</v>
      </c>
      <c r="G139">
        <v>3</v>
      </c>
      <c r="H139" s="2" t="s">
        <v>11</v>
      </c>
    </row>
    <row r="140" spans="1:8" x14ac:dyDescent="0.2">
      <c r="A140" s="1">
        <v>46028</v>
      </c>
      <c r="B140" s="1">
        <v>46007</v>
      </c>
      <c r="C140" s="2" t="s">
        <v>279</v>
      </c>
      <c r="D140" s="2" t="s">
        <v>280</v>
      </c>
      <c r="E140" s="2" t="s">
        <v>286</v>
      </c>
      <c r="F140" s="2" t="s">
        <v>287</v>
      </c>
      <c r="G140">
        <v>4</v>
      </c>
      <c r="H140" s="2" t="s">
        <v>11</v>
      </c>
    </row>
    <row r="141" spans="1:8" x14ac:dyDescent="0.2">
      <c r="A141" s="1">
        <v>46028</v>
      </c>
      <c r="B141" s="1">
        <v>46007</v>
      </c>
      <c r="C141" s="2" t="s">
        <v>279</v>
      </c>
      <c r="D141" s="2" t="s">
        <v>280</v>
      </c>
      <c r="E141" s="2" t="s">
        <v>288</v>
      </c>
      <c r="F141" s="2" t="s">
        <v>289</v>
      </c>
      <c r="G141">
        <v>5</v>
      </c>
      <c r="H141" s="2" t="s">
        <v>11</v>
      </c>
    </row>
    <row r="142" spans="1:8" x14ac:dyDescent="0.2">
      <c r="A142" s="1">
        <v>46028</v>
      </c>
      <c r="B142" s="1">
        <v>46007</v>
      </c>
      <c r="C142" s="2" t="s">
        <v>279</v>
      </c>
      <c r="D142" s="2" t="s">
        <v>280</v>
      </c>
      <c r="E142" s="2" t="s">
        <v>290</v>
      </c>
      <c r="F142" s="2" t="s">
        <v>291</v>
      </c>
      <c r="G142">
        <v>6</v>
      </c>
      <c r="H142" s="2" t="s">
        <v>11</v>
      </c>
    </row>
    <row r="143" spans="1:8" x14ac:dyDescent="0.2">
      <c r="A143" s="1">
        <v>46028</v>
      </c>
      <c r="B143" s="1">
        <v>46007</v>
      </c>
      <c r="C143" s="2" t="s">
        <v>279</v>
      </c>
      <c r="D143" s="2" t="s">
        <v>280</v>
      </c>
      <c r="E143" s="2" t="s">
        <v>292</v>
      </c>
      <c r="F143" s="2" t="s">
        <v>293</v>
      </c>
      <c r="G143">
        <v>7</v>
      </c>
      <c r="H143" s="2" t="s">
        <v>11</v>
      </c>
    </row>
    <row r="144" spans="1:8" x14ac:dyDescent="0.2">
      <c r="A144" s="1">
        <v>46028</v>
      </c>
      <c r="B144" s="1">
        <v>46007</v>
      </c>
      <c r="C144" s="2" t="s">
        <v>279</v>
      </c>
      <c r="D144" s="2" t="s">
        <v>280</v>
      </c>
      <c r="E144" s="2" t="s">
        <v>294</v>
      </c>
      <c r="F144" s="2" t="s">
        <v>295</v>
      </c>
      <c r="G144">
        <v>8</v>
      </c>
      <c r="H144" s="2" t="s">
        <v>11</v>
      </c>
    </row>
    <row r="145" spans="1:8" x14ac:dyDescent="0.2">
      <c r="A145" s="1">
        <v>46028</v>
      </c>
      <c r="B145" s="1">
        <v>46007</v>
      </c>
      <c r="C145" s="2" t="s">
        <v>279</v>
      </c>
      <c r="D145" s="2" t="s">
        <v>280</v>
      </c>
      <c r="E145" s="2" t="s">
        <v>296</v>
      </c>
      <c r="F145" s="2" t="s">
        <v>297</v>
      </c>
      <c r="G145">
        <v>9</v>
      </c>
      <c r="H145" s="2" t="s">
        <v>11</v>
      </c>
    </row>
    <row r="146" spans="1:8" x14ac:dyDescent="0.2">
      <c r="A146" s="1">
        <v>46028</v>
      </c>
      <c r="B146" s="1">
        <v>46007</v>
      </c>
      <c r="C146" s="2" t="s">
        <v>279</v>
      </c>
      <c r="D146" s="2" t="s">
        <v>280</v>
      </c>
      <c r="E146" s="2" t="s">
        <v>298</v>
      </c>
      <c r="F146" s="2" t="s">
        <v>299</v>
      </c>
      <c r="G146">
        <v>10</v>
      </c>
      <c r="H146" s="2" t="s">
        <v>11</v>
      </c>
    </row>
    <row r="147" spans="1:8" x14ac:dyDescent="0.2">
      <c r="A147" s="1">
        <v>46028</v>
      </c>
      <c r="B147" s="1">
        <v>46007</v>
      </c>
      <c r="C147" s="2" t="s">
        <v>279</v>
      </c>
      <c r="D147" s="2" t="s">
        <v>280</v>
      </c>
      <c r="E147" s="2" t="s">
        <v>300</v>
      </c>
      <c r="F147" s="2" t="s">
        <v>301</v>
      </c>
      <c r="G147">
        <v>11</v>
      </c>
      <c r="H147" s="2" t="s">
        <v>11</v>
      </c>
    </row>
    <row r="148" spans="1:8" x14ac:dyDescent="0.2">
      <c r="A148" s="1">
        <v>46028</v>
      </c>
      <c r="B148" s="1">
        <v>46007</v>
      </c>
      <c r="C148" s="2" t="s">
        <v>279</v>
      </c>
      <c r="D148" s="2" t="s">
        <v>280</v>
      </c>
      <c r="E148" s="2" t="s">
        <v>302</v>
      </c>
      <c r="F148" s="2" t="s">
        <v>303</v>
      </c>
      <c r="G148">
        <v>12</v>
      </c>
      <c r="H148" s="2" t="s">
        <v>11</v>
      </c>
    </row>
    <row r="149" spans="1:8" x14ac:dyDescent="0.2">
      <c r="A149" s="1">
        <v>46028</v>
      </c>
      <c r="B149" s="1">
        <v>46007</v>
      </c>
      <c r="C149" s="2" t="s">
        <v>279</v>
      </c>
      <c r="D149" s="2" t="s">
        <v>280</v>
      </c>
      <c r="E149" s="2" t="s">
        <v>304</v>
      </c>
      <c r="F149" s="2" t="s">
        <v>305</v>
      </c>
      <c r="G149">
        <v>13</v>
      </c>
      <c r="H149" s="2" t="s">
        <v>11</v>
      </c>
    </row>
    <row r="150" spans="1:8" x14ac:dyDescent="0.2">
      <c r="A150" s="1">
        <v>46028</v>
      </c>
      <c r="B150" s="1">
        <v>46007</v>
      </c>
      <c r="C150" s="2" t="s">
        <v>279</v>
      </c>
      <c r="D150" s="2" t="s">
        <v>280</v>
      </c>
      <c r="E150" s="2" t="s">
        <v>306</v>
      </c>
      <c r="F150" s="2" t="s">
        <v>307</v>
      </c>
      <c r="G150">
        <v>14</v>
      </c>
      <c r="H150" s="2" t="s">
        <v>11</v>
      </c>
    </row>
    <row r="151" spans="1:8" x14ac:dyDescent="0.2">
      <c r="A151" s="1">
        <v>46028</v>
      </c>
      <c r="B151" s="1">
        <v>46007</v>
      </c>
      <c r="C151" s="2" t="s">
        <v>279</v>
      </c>
      <c r="D151" s="2" t="s">
        <v>280</v>
      </c>
      <c r="E151" s="2" t="s">
        <v>308</v>
      </c>
      <c r="F151" s="2" t="s">
        <v>309</v>
      </c>
      <c r="G151">
        <v>15</v>
      </c>
      <c r="H151" s="2" t="s">
        <v>11</v>
      </c>
    </row>
    <row r="152" spans="1:8" x14ac:dyDescent="0.2">
      <c r="A152" s="1">
        <v>46028</v>
      </c>
      <c r="B152" s="1">
        <v>46007</v>
      </c>
      <c r="C152" s="2" t="s">
        <v>310</v>
      </c>
      <c r="D152" s="2" t="s">
        <v>288</v>
      </c>
      <c r="E152" s="2" t="s">
        <v>284</v>
      </c>
      <c r="F152" s="2" t="s">
        <v>285</v>
      </c>
      <c r="G152">
        <v>1</v>
      </c>
      <c r="H152" s="2" t="s">
        <v>11</v>
      </c>
    </row>
    <row r="153" spans="1:8" x14ac:dyDescent="0.2">
      <c r="A153" s="1">
        <v>46028</v>
      </c>
      <c r="B153" s="1">
        <v>46007</v>
      </c>
      <c r="C153" s="2" t="s">
        <v>310</v>
      </c>
      <c r="D153" s="2" t="s">
        <v>288</v>
      </c>
      <c r="E153" s="2" t="s">
        <v>302</v>
      </c>
      <c r="F153" s="2" t="s">
        <v>303</v>
      </c>
      <c r="G153">
        <v>2</v>
      </c>
      <c r="H153" s="2" t="s">
        <v>11</v>
      </c>
    </row>
    <row r="154" spans="1:8" x14ac:dyDescent="0.2">
      <c r="A154" s="1">
        <v>46028</v>
      </c>
      <c r="B154" s="1">
        <v>46007</v>
      </c>
      <c r="C154" s="2" t="s">
        <v>310</v>
      </c>
      <c r="D154" s="2" t="s">
        <v>288</v>
      </c>
      <c r="E154" s="2" t="s">
        <v>298</v>
      </c>
      <c r="F154" s="2" t="s">
        <v>299</v>
      </c>
      <c r="G154">
        <v>3</v>
      </c>
      <c r="H154" s="2" t="s">
        <v>11</v>
      </c>
    </row>
    <row r="155" spans="1:8" x14ac:dyDescent="0.2">
      <c r="A155" s="1">
        <v>46028</v>
      </c>
      <c r="B155" s="1">
        <v>46007</v>
      </c>
      <c r="C155" s="2" t="s">
        <v>310</v>
      </c>
      <c r="D155" s="2" t="s">
        <v>288</v>
      </c>
      <c r="E155" s="2" t="s">
        <v>306</v>
      </c>
      <c r="F155" s="2" t="s">
        <v>307</v>
      </c>
      <c r="G155">
        <v>4</v>
      </c>
      <c r="H155" s="2" t="s">
        <v>11</v>
      </c>
    </row>
    <row r="156" spans="1:8" x14ac:dyDescent="0.2">
      <c r="A156" s="1">
        <v>46028</v>
      </c>
      <c r="B156" s="1">
        <v>46007</v>
      </c>
      <c r="C156" s="2" t="s">
        <v>310</v>
      </c>
      <c r="D156" s="2" t="s">
        <v>288</v>
      </c>
      <c r="E156" s="2" t="s">
        <v>311</v>
      </c>
      <c r="F156" s="2" t="s">
        <v>312</v>
      </c>
      <c r="G156">
        <v>5</v>
      </c>
      <c r="H156" s="2" t="s">
        <v>11</v>
      </c>
    </row>
    <row r="157" spans="1:8" x14ac:dyDescent="0.2">
      <c r="A157" s="1">
        <v>46028</v>
      </c>
      <c r="B157" s="1">
        <v>46007</v>
      </c>
      <c r="C157" s="2" t="s">
        <v>310</v>
      </c>
      <c r="D157" s="2" t="s">
        <v>288</v>
      </c>
      <c r="E157" s="2" t="s">
        <v>313</v>
      </c>
      <c r="F157" s="2" t="s">
        <v>314</v>
      </c>
      <c r="G157">
        <v>6</v>
      </c>
      <c r="H157" s="2" t="s">
        <v>11</v>
      </c>
    </row>
    <row r="158" spans="1:8" x14ac:dyDescent="0.2">
      <c r="A158" s="1">
        <v>46028</v>
      </c>
      <c r="B158" s="1">
        <v>46007</v>
      </c>
      <c r="C158" s="2" t="s">
        <v>310</v>
      </c>
      <c r="D158" s="2" t="s">
        <v>288</v>
      </c>
      <c r="E158" s="2" t="s">
        <v>315</v>
      </c>
      <c r="F158" s="2" t="s">
        <v>316</v>
      </c>
      <c r="G158">
        <v>7</v>
      </c>
      <c r="H158" s="2" t="s">
        <v>11</v>
      </c>
    </row>
    <row r="159" spans="1:8" x14ac:dyDescent="0.2">
      <c r="A159" s="1">
        <v>46028</v>
      </c>
      <c r="B159" s="1">
        <v>46007</v>
      </c>
      <c r="C159" s="2" t="s">
        <v>310</v>
      </c>
      <c r="D159" s="2" t="s">
        <v>288</v>
      </c>
      <c r="E159" s="2" t="s">
        <v>317</v>
      </c>
      <c r="F159" s="2" t="s">
        <v>318</v>
      </c>
      <c r="G159">
        <v>8</v>
      </c>
      <c r="H159" s="2" t="s">
        <v>11</v>
      </c>
    </row>
    <row r="160" spans="1:8" x14ac:dyDescent="0.2">
      <c r="A160" s="1">
        <v>46028</v>
      </c>
      <c r="B160" s="1">
        <v>46007</v>
      </c>
      <c r="C160" s="2" t="s">
        <v>310</v>
      </c>
      <c r="D160" s="2" t="s">
        <v>288</v>
      </c>
      <c r="E160" s="2" t="s">
        <v>319</v>
      </c>
      <c r="F160" s="2" t="s">
        <v>320</v>
      </c>
      <c r="G160">
        <v>9</v>
      </c>
      <c r="H160" s="2" t="s">
        <v>11</v>
      </c>
    </row>
    <row r="161" spans="1:8" x14ac:dyDescent="0.2">
      <c r="A161" s="1">
        <v>46028</v>
      </c>
      <c r="B161" s="1">
        <v>46007</v>
      </c>
      <c r="C161" s="2" t="s">
        <v>310</v>
      </c>
      <c r="D161" s="2" t="s">
        <v>288</v>
      </c>
      <c r="E161" s="2" t="s">
        <v>321</v>
      </c>
      <c r="F161" s="2" t="s">
        <v>322</v>
      </c>
      <c r="G161">
        <v>10</v>
      </c>
      <c r="H161" s="2" t="s">
        <v>11</v>
      </c>
    </row>
    <row r="162" spans="1:8" x14ac:dyDescent="0.2">
      <c r="A162" s="1">
        <v>46028</v>
      </c>
      <c r="B162" s="1">
        <v>46007</v>
      </c>
      <c r="C162" s="2" t="s">
        <v>310</v>
      </c>
      <c r="D162" s="2" t="s">
        <v>288</v>
      </c>
      <c r="E162" s="2" t="s">
        <v>323</v>
      </c>
      <c r="F162" s="2" t="s">
        <v>324</v>
      </c>
      <c r="G162">
        <v>11</v>
      </c>
      <c r="H162" s="2" t="s">
        <v>11</v>
      </c>
    </row>
    <row r="163" spans="1:8" x14ac:dyDescent="0.2">
      <c r="A163" s="1">
        <v>46028</v>
      </c>
      <c r="B163" s="1">
        <v>46007</v>
      </c>
      <c r="C163" s="2" t="s">
        <v>310</v>
      </c>
      <c r="D163" s="2" t="s">
        <v>288</v>
      </c>
      <c r="E163" s="2" t="s">
        <v>325</v>
      </c>
      <c r="F163" s="2" t="s">
        <v>326</v>
      </c>
      <c r="G163">
        <v>12</v>
      </c>
      <c r="H163" s="2" t="s">
        <v>11</v>
      </c>
    </row>
    <row r="164" spans="1:8" x14ac:dyDescent="0.2">
      <c r="A164" s="1">
        <v>46028</v>
      </c>
      <c r="B164" s="1">
        <v>46007</v>
      </c>
      <c r="C164" s="2" t="s">
        <v>310</v>
      </c>
      <c r="D164" s="2" t="s">
        <v>288</v>
      </c>
      <c r="E164" s="2" t="s">
        <v>327</v>
      </c>
      <c r="F164" s="2" t="s">
        <v>328</v>
      </c>
      <c r="G164">
        <v>13</v>
      </c>
      <c r="H164" s="2" t="s">
        <v>11</v>
      </c>
    </row>
    <row r="165" spans="1:8" x14ac:dyDescent="0.2">
      <c r="A165" s="1">
        <v>46028</v>
      </c>
      <c r="B165" s="1">
        <v>46007</v>
      </c>
      <c r="C165" s="2" t="s">
        <v>310</v>
      </c>
      <c r="D165" s="2" t="s">
        <v>288</v>
      </c>
      <c r="E165" s="2" t="s">
        <v>329</v>
      </c>
      <c r="F165" s="2" t="s">
        <v>330</v>
      </c>
      <c r="G165">
        <v>14</v>
      </c>
      <c r="H165" s="2" t="s">
        <v>11</v>
      </c>
    </row>
    <row r="166" spans="1:8" x14ac:dyDescent="0.2">
      <c r="A166" s="1">
        <v>46028</v>
      </c>
      <c r="B166" s="1">
        <v>46007</v>
      </c>
      <c r="C166" s="2" t="s">
        <v>310</v>
      </c>
      <c r="D166" s="2" t="s">
        <v>288</v>
      </c>
      <c r="E166" s="2" t="s">
        <v>331</v>
      </c>
      <c r="F166" s="2" t="s">
        <v>332</v>
      </c>
      <c r="G166">
        <v>15</v>
      </c>
      <c r="H166" s="2" t="s">
        <v>11</v>
      </c>
    </row>
    <row r="167" spans="1:8" x14ac:dyDescent="0.2">
      <c r="A167" s="1">
        <v>46028</v>
      </c>
      <c r="B167" s="1">
        <v>46007</v>
      </c>
      <c r="C167" s="2" t="s">
        <v>333</v>
      </c>
      <c r="D167" s="2" t="s">
        <v>280</v>
      </c>
      <c r="E167" s="2" t="s">
        <v>290</v>
      </c>
      <c r="F167" s="2" t="s">
        <v>291</v>
      </c>
      <c r="G167">
        <v>1</v>
      </c>
      <c r="H167" s="2" t="s">
        <v>11</v>
      </c>
    </row>
    <row r="168" spans="1:8" x14ac:dyDescent="0.2">
      <c r="A168" s="1">
        <v>46028</v>
      </c>
      <c r="B168" s="1">
        <v>46007</v>
      </c>
      <c r="C168" s="2" t="s">
        <v>333</v>
      </c>
      <c r="D168" s="2" t="s">
        <v>280</v>
      </c>
      <c r="E168" s="2" t="s">
        <v>286</v>
      </c>
      <c r="F168" s="2" t="s">
        <v>287</v>
      </c>
      <c r="G168">
        <v>2</v>
      </c>
      <c r="H168" s="2" t="s">
        <v>11</v>
      </c>
    </row>
    <row r="169" spans="1:8" x14ac:dyDescent="0.2">
      <c r="A169" s="1">
        <v>46028</v>
      </c>
      <c r="B169" s="1">
        <v>46007</v>
      </c>
      <c r="C169" s="2" t="s">
        <v>333</v>
      </c>
      <c r="D169" s="2" t="s">
        <v>280</v>
      </c>
      <c r="E169" s="2" t="s">
        <v>292</v>
      </c>
      <c r="F169" s="2" t="s">
        <v>293</v>
      </c>
      <c r="G169">
        <v>3</v>
      </c>
      <c r="H169" s="2" t="s">
        <v>24</v>
      </c>
    </row>
    <row r="170" spans="1:8" x14ac:dyDescent="0.2">
      <c r="A170" s="1">
        <v>46028</v>
      </c>
      <c r="B170" s="1">
        <v>46007</v>
      </c>
      <c r="C170" s="2" t="s">
        <v>333</v>
      </c>
      <c r="D170" s="2" t="s">
        <v>280</v>
      </c>
      <c r="E170" s="2" t="s">
        <v>296</v>
      </c>
      <c r="F170" s="2" t="s">
        <v>297</v>
      </c>
      <c r="G170">
        <v>3</v>
      </c>
      <c r="H170" s="2" t="s">
        <v>11</v>
      </c>
    </row>
    <row r="171" spans="1:8" x14ac:dyDescent="0.2">
      <c r="A171" s="1">
        <v>46028</v>
      </c>
      <c r="B171" s="1">
        <v>46007</v>
      </c>
      <c r="C171" s="2" t="s">
        <v>333</v>
      </c>
      <c r="D171" s="2" t="s">
        <v>280</v>
      </c>
      <c r="E171" s="2" t="s">
        <v>308</v>
      </c>
      <c r="F171" s="2" t="s">
        <v>309</v>
      </c>
      <c r="G171">
        <v>5</v>
      </c>
      <c r="H171" s="2" t="s">
        <v>11</v>
      </c>
    </row>
    <row r="172" spans="1:8" x14ac:dyDescent="0.2">
      <c r="A172" s="1">
        <v>46028</v>
      </c>
      <c r="B172" s="1">
        <v>46007</v>
      </c>
      <c r="C172" s="2" t="s">
        <v>333</v>
      </c>
      <c r="D172" s="2" t="s">
        <v>280</v>
      </c>
      <c r="E172" s="2" t="s">
        <v>304</v>
      </c>
      <c r="F172" s="2" t="s">
        <v>305</v>
      </c>
      <c r="G172">
        <v>6</v>
      </c>
      <c r="H172" s="2" t="s">
        <v>11</v>
      </c>
    </row>
    <row r="173" spans="1:8" x14ac:dyDescent="0.2">
      <c r="A173" s="1">
        <v>46028</v>
      </c>
      <c r="B173" s="1">
        <v>46007</v>
      </c>
      <c r="C173" s="2" t="s">
        <v>333</v>
      </c>
      <c r="D173" s="2" t="s">
        <v>280</v>
      </c>
      <c r="E173" s="2" t="s">
        <v>334</v>
      </c>
      <c r="F173" s="2" t="s">
        <v>335</v>
      </c>
      <c r="G173">
        <v>7</v>
      </c>
      <c r="H173" s="2" t="s">
        <v>11</v>
      </c>
    </row>
    <row r="174" spans="1:8" x14ac:dyDescent="0.2">
      <c r="A174" s="1">
        <v>46028</v>
      </c>
      <c r="B174" s="1">
        <v>46007</v>
      </c>
      <c r="C174" s="2" t="s">
        <v>333</v>
      </c>
      <c r="D174" s="2" t="s">
        <v>280</v>
      </c>
      <c r="E174" s="2" t="s">
        <v>336</v>
      </c>
      <c r="F174" s="2" t="s">
        <v>337</v>
      </c>
      <c r="G174">
        <v>8</v>
      </c>
      <c r="H174" s="2" t="s">
        <v>11</v>
      </c>
    </row>
    <row r="175" spans="1:8" x14ac:dyDescent="0.2">
      <c r="A175" s="1">
        <v>46028</v>
      </c>
      <c r="B175" s="1">
        <v>46007</v>
      </c>
      <c r="C175" s="2" t="s">
        <v>333</v>
      </c>
      <c r="D175" s="2" t="s">
        <v>280</v>
      </c>
      <c r="E175" s="2" t="s">
        <v>338</v>
      </c>
      <c r="F175" s="2" t="s">
        <v>339</v>
      </c>
      <c r="G175">
        <v>9</v>
      </c>
      <c r="H175" s="2" t="s">
        <v>11</v>
      </c>
    </row>
    <row r="176" spans="1:8" x14ac:dyDescent="0.2">
      <c r="A176" s="1">
        <v>46028</v>
      </c>
      <c r="B176" s="1">
        <v>46007</v>
      </c>
      <c r="C176" s="2" t="s">
        <v>333</v>
      </c>
      <c r="D176" s="2" t="s">
        <v>280</v>
      </c>
      <c r="E176" s="2" t="s">
        <v>340</v>
      </c>
      <c r="F176" s="2" t="s">
        <v>341</v>
      </c>
      <c r="G176">
        <v>9</v>
      </c>
      <c r="H176" s="2" t="s">
        <v>24</v>
      </c>
    </row>
    <row r="177" spans="1:8" x14ac:dyDescent="0.2">
      <c r="A177" s="1">
        <v>46028</v>
      </c>
      <c r="B177" s="1">
        <v>46007</v>
      </c>
      <c r="C177" s="2" t="s">
        <v>333</v>
      </c>
      <c r="D177" s="2" t="s">
        <v>280</v>
      </c>
      <c r="E177" s="2" t="s">
        <v>342</v>
      </c>
      <c r="F177" s="2" t="s">
        <v>343</v>
      </c>
      <c r="G177">
        <v>11</v>
      </c>
      <c r="H177" s="2" t="s">
        <v>11</v>
      </c>
    </row>
    <row r="178" spans="1:8" x14ac:dyDescent="0.2">
      <c r="A178" s="1">
        <v>46028</v>
      </c>
      <c r="B178" s="1">
        <v>46007</v>
      </c>
      <c r="C178" s="2" t="s">
        <v>333</v>
      </c>
      <c r="D178" s="2" t="s">
        <v>280</v>
      </c>
      <c r="E178" s="2" t="s">
        <v>344</v>
      </c>
      <c r="F178" s="2" t="s">
        <v>345</v>
      </c>
      <c r="G178">
        <v>12</v>
      </c>
      <c r="H178" s="2" t="s">
        <v>11</v>
      </c>
    </row>
    <row r="179" spans="1:8" x14ac:dyDescent="0.2">
      <c r="A179" s="1">
        <v>46028</v>
      </c>
      <c r="B179" s="1">
        <v>46007</v>
      </c>
      <c r="C179" s="2" t="s">
        <v>333</v>
      </c>
      <c r="D179" s="2" t="s">
        <v>280</v>
      </c>
      <c r="E179" s="2" t="s">
        <v>346</v>
      </c>
      <c r="F179" s="2" t="s">
        <v>347</v>
      </c>
      <c r="G179">
        <v>13</v>
      </c>
      <c r="H179" s="2" t="s">
        <v>11</v>
      </c>
    </row>
    <row r="180" spans="1:8" x14ac:dyDescent="0.2">
      <c r="A180" s="1">
        <v>46028</v>
      </c>
      <c r="B180" s="1">
        <v>46007</v>
      </c>
      <c r="C180" s="2" t="s">
        <v>333</v>
      </c>
      <c r="D180" s="2" t="s">
        <v>280</v>
      </c>
      <c r="E180" s="2" t="s">
        <v>348</v>
      </c>
      <c r="F180" s="2" t="s">
        <v>349</v>
      </c>
      <c r="G180">
        <v>14</v>
      </c>
      <c r="H180" s="2" t="s">
        <v>11</v>
      </c>
    </row>
    <row r="181" spans="1:8" x14ac:dyDescent="0.2">
      <c r="A181" s="1">
        <v>46028</v>
      </c>
      <c r="B181" s="1">
        <v>46007</v>
      </c>
      <c r="C181" s="2" t="s">
        <v>333</v>
      </c>
      <c r="D181" s="2" t="s">
        <v>280</v>
      </c>
      <c r="E181" s="2" t="s">
        <v>350</v>
      </c>
      <c r="F181" s="2" t="s">
        <v>351</v>
      </c>
      <c r="G181">
        <v>15</v>
      </c>
      <c r="H181" s="2" t="s">
        <v>11</v>
      </c>
    </row>
    <row r="182" spans="1:8" x14ac:dyDescent="0.2">
      <c r="A182" s="1">
        <v>46028</v>
      </c>
      <c r="B182" s="1">
        <v>46007</v>
      </c>
      <c r="C182" s="2" t="s">
        <v>352</v>
      </c>
      <c r="D182" s="2" t="s">
        <v>282</v>
      </c>
      <c r="E182" s="2" t="s">
        <v>294</v>
      </c>
      <c r="F182" s="2" t="s">
        <v>295</v>
      </c>
      <c r="G182">
        <v>1</v>
      </c>
      <c r="H182" s="2" t="s">
        <v>11</v>
      </c>
    </row>
    <row r="183" spans="1:8" x14ac:dyDescent="0.2">
      <c r="A183" s="1">
        <v>46028</v>
      </c>
      <c r="B183" s="1">
        <v>46007</v>
      </c>
      <c r="C183" s="2" t="s">
        <v>352</v>
      </c>
      <c r="D183" s="2" t="s">
        <v>282</v>
      </c>
      <c r="E183" s="2" t="s">
        <v>300</v>
      </c>
      <c r="F183" s="2" t="s">
        <v>301</v>
      </c>
      <c r="G183">
        <v>2</v>
      </c>
      <c r="H183" s="2" t="s">
        <v>11</v>
      </c>
    </row>
    <row r="184" spans="1:8" x14ac:dyDescent="0.2">
      <c r="A184" s="1">
        <v>46028</v>
      </c>
      <c r="B184" s="1">
        <v>46007</v>
      </c>
      <c r="C184" s="2" t="s">
        <v>352</v>
      </c>
      <c r="D184" s="2" t="s">
        <v>282</v>
      </c>
      <c r="E184" s="2" t="s">
        <v>353</v>
      </c>
      <c r="F184" s="2" t="s">
        <v>354</v>
      </c>
      <c r="G184">
        <v>3</v>
      </c>
      <c r="H184" s="2" t="s">
        <v>11</v>
      </c>
    </row>
    <row r="185" spans="1:8" x14ac:dyDescent="0.2">
      <c r="A185" s="1">
        <v>46028</v>
      </c>
      <c r="B185" s="1">
        <v>46007</v>
      </c>
      <c r="C185" s="2" t="s">
        <v>352</v>
      </c>
      <c r="D185" s="2" t="s">
        <v>282</v>
      </c>
      <c r="E185" s="2" t="s">
        <v>355</v>
      </c>
      <c r="F185" s="2" t="s">
        <v>356</v>
      </c>
      <c r="G185">
        <v>4</v>
      </c>
      <c r="H185" s="2" t="s">
        <v>11</v>
      </c>
    </row>
    <row r="186" spans="1:8" x14ac:dyDescent="0.2">
      <c r="A186" s="1">
        <v>46028</v>
      </c>
      <c r="B186" s="1">
        <v>46007</v>
      </c>
      <c r="C186" s="2" t="s">
        <v>352</v>
      </c>
      <c r="D186" s="2" t="s">
        <v>282</v>
      </c>
      <c r="E186" s="2" t="s">
        <v>357</v>
      </c>
      <c r="F186" s="2" t="s">
        <v>358</v>
      </c>
      <c r="G186">
        <v>5</v>
      </c>
      <c r="H186" s="2" t="s">
        <v>11</v>
      </c>
    </row>
    <row r="187" spans="1:8" x14ac:dyDescent="0.2">
      <c r="A187" s="1">
        <v>46028</v>
      </c>
      <c r="B187" s="1">
        <v>46007</v>
      </c>
      <c r="C187" s="2" t="s">
        <v>352</v>
      </c>
      <c r="D187" s="2" t="s">
        <v>282</v>
      </c>
      <c r="E187" s="2" t="s">
        <v>359</v>
      </c>
      <c r="F187" s="2" t="s">
        <v>360</v>
      </c>
      <c r="G187">
        <v>6</v>
      </c>
      <c r="H187" s="2" t="s">
        <v>11</v>
      </c>
    </row>
    <row r="188" spans="1:8" x14ac:dyDescent="0.2">
      <c r="A188" s="1">
        <v>46028</v>
      </c>
      <c r="B188" s="1">
        <v>46007</v>
      </c>
      <c r="C188" s="2" t="s">
        <v>352</v>
      </c>
      <c r="D188" s="2" t="s">
        <v>282</v>
      </c>
      <c r="E188" s="2" t="s">
        <v>361</v>
      </c>
      <c r="F188" s="2" t="s">
        <v>362</v>
      </c>
      <c r="G188">
        <v>7</v>
      </c>
      <c r="H188" s="2" t="s">
        <v>11</v>
      </c>
    </row>
    <row r="189" spans="1:8" x14ac:dyDescent="0.2">
      <c r="A189" s="1">
        <v>46028</v>
      </c>
      <c r="B189" s="1">
        <v>46007</v>
      </c>
      <c r="C189" s="2" t="s">
        <v>352</v>
      </c>
      <c r="D189" s="2" t="s">
        <v>282</v>
      </c>
      <c r="E189" s="2" t="s">
        <v>363</v>
      </c>
      <c r="F189" s="2" t="s">
        <v>364</v>
      </c>
      <c r="G189">
        <v>8</v>
      </c>
      <c r="H189" s="2" t="s">
        <v>11</v>
      </c>
    </row>
    <row r="190" spans="1:8" x14ac:dyDescent="0.2">
      <c r="A190" s="1">
        <v>46028</v>
      </c>
      <c r="B190" s="1">
        <v>46007</v>
      </c>
      <c r="C190" s="2" t="s">
        <v>352</v>
      </c>
      <c r="D190" s="2" t="s">
        <v>282</v>
      </c>
      <c r="E190" s="2" t="s">
        <v>365</v>
      </c>
      <c r="F190" s="2" t="s">
        <v>366</v>
      </c>
      <c r="G190">
        <v>9</v>
      </c>
      <c r="H190" s="2" t="s">
        <v>11</v>
      </c>
    </row>
    <row r="191" spans="1:8" x14ac:dyDescent="0.2">
      <c r="A191" s="1">
        <v>46028</v>
      </c>
      <c r="B191" s="1">
        <v>46007</v>
      </c>
      <c r="C191" s="2" t="s">
        <v>352</v>
      </c>
      <c r="D191" s="2" t="s">
        <v>282</v>
      </c>
      <c r="E191" s="2" t="s">
        <v>367</v>
      </c>
      <c r="F191" s="2" t="s">
        <v>368</v>
      </c>
      <c r="G191">
        <v>10</v>
      </c>
      <c r="H191" s="2" t="s">
        <v>11</v>
      </c>
    </row>
    <row r="192" spans="1:8" x14ac:dyDescent="0.2">
      <c r="A192" s="1">
        <v>46028</v>
      </c>
      <c r="B192" s="1">
        <v>46007</v>
      </c>
      <c r="C192" s="2" t="s">
        <v>352</v>
      </c>
      <c r="D192" s="2" t="s">
        <v>282</v>
      </c>
      <c r="E192" s="2" t="s">
        <v>369</v>
      </c>
      <c r="F192" s="2" t="s">
        <v>370</v>
      </c>
      <c r="G192">
        <v>11</v>
      </c>
      <c r="H192" s="2" t="s">
        <v>11</v>
      </c>
    </row>
    <row r="193" spans="1:8" x14ac:dyDescent="0.2">
      <c r="A193" s="1">
        <v>46028</v>
      </c>
      <c r="B193" s="1">
        <v>46007</v>
      </c>
      <c r="C193" s="2" t="s">
        <v>352</v>
      </c>
      <c r="D193" s="2" t="s">
        <v>282</v>
      </c>
      <c r="E193" s="2" t="s">
        <v>371</v>
      </c>
      <c r="F193" s="2" t="s">
        <v>372</v>
      </c>
      <c r="G193">
        <v>12</v>
      </c>
      <c r="H193" s="2" t="s">
        <v>11</v>
      </c>
    </row>
    <row r="194" spans="1:8" x14ac:dyDescent="0.2">
      <c r="A194" s="1">
        <v>46028</v>
      </c>
      <c r="B194" s="1">
        <v>46007</v>
      </c>
      <c r="C194" s="2" t="s">
        <v>352</v>
      </c>
      <c r="D194" s="2" t="s">
        <v>282</v>
      </c>
      <c r="E194" s="2" t="s">
        <v>373</v>
      </c>
      <c r="F194" s="2" t="s">
        <v>374</v>
      </c>
      <c r="G194">
        <v>13</v>
      </c>
      <c r="H194" s="2" t="s">
        <v>11</v>
      </c>
    </row>
    <row r="195" spans="1:8" x14ac:dyDescent="0.2">
      <c r="A195" s="1">
        <v>46028</v>
      </c>
      <c r="B195" s="1">
        <v>46007</v>
      </c>
      <c r="C195" s="2" t="s">
        <v>352</v>
      </c>
      <c r="D195" s="2" t="s">
        <v>282</v>
      </c>
      <c r="E195" s="2" t="s">
        <v>375</v>
      </c>
      <c r="F195" s="2" t="s">
        <v>376</v>
      </c>
      <c r="G195">
        <v>14</v>
      </c>
      <c r="H195" s="2" t="s">
        <v>11</v>
      </c>
    </row>
    <row r="196" spans="1:8" x14ac:dyDescent="0.2">
      <c r="A196" s="1">
        <v>46028</v>
      </c>
      <c r="B196" s="1">
        <v>46007</v>
      </c>
      <c r="C196" s="2" t="s">
        <v>352</v>
      </c>
      <c r="D196" s="2" t="s">
        <v>282</v>
      </c>
      <c r="E196" s="2" t="s">
        <v>377</v>
      </c>
      <c r="F196" s="2" t="s">
        <v>378</v>
      </c>
      <c r="G196">
        <v>15</v>
      </c>
      <c r="H196" s="2" t="s">
        <v>11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2EB01-B252-3749-853D-00401C627B48}">
  <sheetPr>
    <pageSetUpPr fitToPage="1"/>
  </sheetPr>
  <dimension ref="A1:Q42"/>
  <sheetViews>
    <sheetView tabSelected="1" zoomScaleNormal="100" workbookViewId="0">
      <selection activeCell="K45" sqref="K45"/>
    </sheetView>
  </sheetViews>
  <sheetFormatPr baseColWidth="10" defaultRowHeight="16" x14ac:dyDescent="0.2"/>
  <cols>
    <col min="1" max="1" width="2.83203125" style="3" customWidth="1"/>
    <col min="2" max="2" width="18.83203125" style="3" customWidth="1"/>
    <col min="3" max="3" width="2.83203125" style="6" customWidth="1"/>
    <col min="4" max="4" width="19.33203125" style="3" customWidth="1"/>
    <col min="5" max="5" width="2.83203125" style="6" customWidth="1"/>
    <col min="6" max="6" width="18.5" style="3" customWidth="1"/>
    <col min="7" max="7" width="2.83203125" style="6" customWidth="1"/>
    <col min="8" max="8" width="17.33203125" style="3" customWidth="1"/>
    <col min="9" max="9" width="2.83203125" style="6" customWidth="1"/>
  </cols>
  <sheetData>
    <row r="1" spans="1:9" ht="37" customHeight="1" x14ac:dyDescent="0.2">
      <c r="A1" s="7" t="e" vm="1">
        <v>#VALUE!</v>
      </c>
      <c r="B1" s="4"/>
      <c r="C1" s="4"/>
      <c r="D1" s="4"/>
      <c r="E1" s="4"/>
      <c r="F1" s="4"/>
      <c r="G1" s="4"/>
      <c r="H1" s="4"/>
      <c r="I1" s="4"/>
    </row>
    <row r="2" spans="1:9" hidden="1" x14ac:dyDescent="0.2">
      <c r="B2" s="32">
        <f>MAX(raw_history!B:B)</f>
        <v>46007</v>
      </c>
    </row>
    <row r="3" spans="1:9" ht="31" customHeight="1" thickBot="1" x14ac:dyDescent="0.25">
      <c r="A3" s="16" t="str">
        <f>"Men's Rankings (" &amp; TEXT($B$2,"m/d/yy") &amp; ")"</f>
        <v>Men's Rankings (12/16/25)</v>
      </c>
      <c r="B3" s="17"/>
      <c r="C3" s="17"/>
      <c r="D3" s="17"/>
      <c r="E3" s="17"/>
      <c r="F3" s="17"/>
      <c r="G3" s="17"/>
      <c r="H3" s="17"/>
      <c r="I3" s="17"/>
    </row>
    <row r="4" spans="1:9" ht="18" thickTop="1" thickBot="1" x14ac:dyDescent="0.25">
      <c r="B4" s="30" t="s">
        <v>380</v>
      </c>
      <c r="C4" s="29"/>
      <c r="D4" s="30" t="s">
        <v>381</v>
      </c>
      <c r="E4" s="29"/>
      <c r="F4" s="30" t="s">
        <v>382</v>
      </c>
      <c r="G4" s="29"/>
      <c r="H4" s="31" t="s">
        <v>383</v>
      </c>
      <c r="I4" s="39"/>
    </row>
    <row r="5" spans="1:9" ht="17" thickTop="1" x14ac:dyDescent="0.2">
      <c r="A5" s="6" t="s">
        <v>379</v>
      </c>
      <c r="B5" s="66" t="str" cm="1">
        <f t="array" ref="B5">_xlfn.LET(
  _xlpm.u, $B$2,
  _xlpm.div, B$21,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Joshua Van</v>
      </c>
      <c r="C5" s="67"/>
      <c r="D5" s="57" t="str" cm="1">
        <f t="array" ref="D5">_xlfn.LET(
  _xlpm.u, $B$2,
  _xlpm.div, D$21,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Petr Yan</v>
      </c>
      <c r="E5" s="58"/>
      <c r="F5" s="57" t="str" cm="1">
        <f t="array" ref="F5">_xlfn.LET(
  _xlpm.u, $B$2,
  _xlpm.div, F$21,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Alexander Volkanovski</v>
      </c>
      <c r="G5" s="58"/>
      <c r="H5" s="59" t="str" cm="1">
        <f t="array" ref="H5">_xlfn.LET(
  _xlpm.u, $B$2,
  _xlpm.div, H$21,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Ilia Topuria</v>
      </c>
      <c r="I5" s="63"/>
    </row>
    <row r="6" spans="1:9" x14ac:dyDescent="0.2">
      <c r="A6" s="5">
        <v>1</v>
      </c>
      <c r="B6" s="60" t="str" cm="1">
        <f t="array" ref="B6:B20">_xlfn.LET(
  _xlpm.u, $B$2,
  _xlpm.div, B$21,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Alexandre Pantoja</v>
      </c>
      <c r="C6" s="61" t="str" cm="1">
        <f t="array" ref="C6:C20">_xlfn.LET(
  _xlpm.u, $B$2,
  _xlpm.div, B$21,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6" s="60" t="str" cm="1">
        <f t="array" ref="D6:D20">_xlfn.LET(
  _xlpm.u, $B$2,
  _xlpm.div, D$21,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Merab Dvalishvili</v>
      </c>
      <c r="E6" s="61" t="str" cm="1">
        <f t="array" ref="E6:E20">_xlfn.LET(
  _xlpm.u, $B$2,
  _xlpm.div, D$21,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6" s="60" t="str" cm="1">
        <f t="array" ref="F6:F20">_xlfn.LET(
  _xlpm.u, $B$2,
  _xlpm.div, F$21,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Movsar Evloev</v>
      </c>
      <c r="G6" s="61" t="str" cm="1">
        <f t="array" ref="G6:G20">_xlfn.LET(
  _xlpm.u, $B$2,
  _xlpm.div, F$21,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H6" s="62" t="str" cm="1">
        <f t="array" ref="H6:H20">_xlfn.LET(
  _xlpm.u, $B$2,
  _xlpm.div, H$21,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Arman Tsarukyan</v>
      </c>
      <c r="I6" s="61" t="str" cm="1">
        <f t="array" ref="I6:I20">_xlfn.LET(
  _xlpm.u, $B$2,
  _xlpm.div, H$21,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</row>
    <row r="7" spans="1:9" x14ac:dyDescent="0.2">
      <c r="A7" s="5">
        <v>2</v>
      </c>
      <c r="B7" s="18" t="str">
        <v>Manel Kape</v>
      </c>
      <c r="C7" s="34" t="str">
        <v>+4</v>
      </c>
      <c r="D7" s="18" t="str">
        <v>Umar Nurmagomedov</v>
      </c>
      <c r="E7" s="34" t="str">
        <v/>
      </c>
      <c r="F7" s="18" t="str">
        <v>Diego Lopes</v>
      </c>
      <c r="G7" s="34" t="str">
        <v/>
      </c>
      <c r="H7" s="10" t="str">
        <v>Charles Oliveira</v>
      </c>
      <c r="I7" s="34" t="str">
        <v/>
      </c>
    </row>
    <row r="8" spans="1:9" x14ac:dyDescent="0.2">
      <c r="A8" s="5">
        <v>3</v>
      </c>
      <c r="B8" s="18" t="str">
        <v>Tatsuro Taira</v>
      </c>
      <c r="C8" s="34" t="str">
        <v/>
      </c>
      <c r="D8" s="18" t="str">
        <v>Sean O'Malley</v>
      </c>
      <c r="E8" s="34" t="str">
        <v/>
      </c>
      <c r="F8" s="18" t="str">
        <v>Yair Rodriguez</v>
      </c>
      <c r="G8" s="34" t="str">
        <v/>
      </c>
      <c r="H8" s="10" t="str">
        <v>Max Holloway</v>
      </c>
      <c r="I8" s="34" t="str">
        <v/>
      </c>
    </row>
    <row r="9" spans="1:9" x14ac:dyDescent="0.2">
      <c r="A9" s="5">
        <v>4</v>
      </c>
      <c r="B9" s="18" t="str">
        <v>Brandon Royval</v>
      </c>
      <c r="C9" s="34" t="str">
        <v>-2</v>
      </c>
      <c r="D9" s="18" t="str">
        <v>Cory Sandhagen</v>
      </c>
      <c r="E9" s="34" t="str">
        <v/>
      </c>
      <c r="F9" s="18" t="str">
        <v>Lerone Murphy</v>
      </c>
      <c r="G9" s="34" t="str">
        <v/>
      </c>
      <c r="H9" s="10" t="str">
        <v>Justin Gaethje</v>
      </c>
      <c r="I9" s="34" t="str">
        <v/>
      </c>
    </row>
    <row r="10" spans="1:9" x14ac:dyDescent="0.2">
      <c r="A10" s="5">
        <v>5</v>
      </c>
      <c r="B10" s="18" t="str">
        <v>Brandon Moreno</v>
      </c>
      <c r="C10" s="34" t="str">
        <v>-1</v>
      </c>
      <c r="D10" s="18" t="str">
        <v>Song Yadong</v>
      </c>
      <c r="E10" s="34" t="str">
        <v/>
      </c>
      <c r="F10" s="18" t="str">
        <v>Aljamain Sterling</v>
      </c>
      <c r="G10" s="34" t="str">
        <v/>
      </c>
      <c r="H10" s="10" t="str">
        <v>Paddy Pimblett</v>
      </c>
      <c r="I10" s="34" t="str">
        <v/>
      </c>
    </row>
    <row r="11" spans="1:9" x14ac:dyDescent="0.2">
      <c r="A11" s="5">
        <v>6</v>
      </c>
      <c r="B11" s="18" t="str">
        <v>Amir Albazi</v>
      </c>
      <c r="C11" s="34" t="str">
        <v>-1</v>
      </c>
      <c r="D11" s="18" t="str">
        <v>Deiveson Figueiredo</v>
      </c>
      <c r="E11" s="34" t="str">
        <v/>
      </c>
      <c r="F11" s="18" t="str">
        <v>Arnold Allen</v>
      </c>
      <c r="G11" s="34" t="str">
        <v/>
      </c>
      <c r="H11" s="10" t="str">
        <v>Dan Hooker</v>
      </c>
      <c r="I11" s="34" t="str">
        <v/>
      </c>
    </row>
    <row r="12" spans="1:9" x14ac:dyDescent="0.2">
      <c r="A12" s="5">
        <v>7</v>
      </c>
      <c r="B12" s="18" t="str">
        <v>Asu Almabayev</v>
      </c>
      <c r="C12" s="34" t="str">
        <v/>
      </c>
      <c r="D12" s="18" t="str">
        <v>Aiemann Zahabi</v>
      </c>
      <c r="E12" s="34" t="str">
        <v/>
      </c>
      <c r="F12" s="18" t="str">
        <v>Youssef Zalal</v>
      </c>
      <c r="G12" s="34" t="str">
        <v/>
      </c>
      <c r="H12" s="10" t="str">
        <v>Mateusz Gamrot</v>
      </c>
      <c r="I12" s="34" t="str">
        <v/>
      </c>
    </row>
    <row r="13" spans="1:9" x14ac:dyDescent="0.2">
      <c r="A13" s="5">
        <v>8</v>
      </c>
      <c r="B13" s="18" t="str">
        <v>Kyoji Horiguchi</v>
      </c>
      <c r="C13" s="34" t="str">
        <v/>
      </c>
      <c r="D13" s="18" t="str">
        <v>Marlon Vera</v>
      </c>
      <c r="E13" s="34" t="str">
        <v/>
      </c>
      <c r="F13" s="18" t="str">
        <v>Steve Garcia</v>
      </c>
      <c r="G13" s="34" t="str">
        <v/>
      </c>
      <c r="H13" s="10" t="str">
        <v>Benoît Saint Denis</v>
      </c>
      <c r="I13" s="34" t="str">
        <v/>
      </c>
    </row>
    <row r="14" spans="1:9" x14ac:dyDescent="0.2">
      <c r="A14" s="5">
        <v>9</v>
      </c>
      <c r="B14" s="18" t="str">
        <v>Tim Elliott</v>
      </c>
      <c r="C14" s="34" t="str">
        <v/>
      </c>
      <c r="D14" s="18" t="str">
        <v>Mario Bautista</v>
      </c>
      <c r="E14" s="34" t="str">
        <v/>
      </c>
      <c r="F14" s="18" t="str">
        <v>Brian Ortega</v>
      </c>
      <c r="G14" s="34" t="str">
        <v/>
      </c>
      <c r="H14" s="10" t="str">
        <v>Rafael Fiziev</v>
      </c>
      <c r="I14" s="34" t="str">
        <v/>
      </c>
    </row>
    <row r="15" spans="1:9" x14ac:dyDescent="0.2">
      <c r="A15" s="5">
        <v>10</v>
      </c>
      <c r="B15" s="18" t="str">
        <v>Steve Erceg</v>
      </c>
      <c r="C15" s="34" t="str">
        <v/>
      </c>
      <c r="D15" s="18" t="str">
        <v>David Martinez</v>
      </c>
      <c r="E15" s="34" t="str">
        <v/>
      </c>
      <c r="F15" s="18" t="str">
        <v>Jean Silva</v>
      </c>
      <c r="G15" s="34" t="str">
        <v>+1</v>
      </c>
      <c r="H15" s="10" t="str">
        <v>Renato Moicano</v>
      </c>
      <c r="I15" s="34" t="str">
        <v/>
      </c>
    </row>
    <row r="16" spans="1:9" x14ac:dyDescent="0.2">
      <c r="A16" s="5">
        <v>11</v>
      </c>
      <c r="B16" s="18" t="str">
        <v>Alex Perez</v>
      </c>
      <c r="C16" s="34" t="str">
        <v/>
      </c>
      <c r="D16" s="18" t="str">
        <v>Payton Talbott</v>
      </c>
      <c r="E16" s="34" t="str">
        <v>+1</v>
      </c>
      <c r="F16" s="18" t="str">
        <v>Josh Emmett</v>
      </c>
      <c r="G16" s="34" t="str">
        <v>-1</v>
      </c>
      <c r="H16" s="10" t="str">
        <v>Beneil Dariush</v>
      </c>
      <c r="I16" s="34" t="str">
        <v/>
      </c>
    </row>
    <row r="17" spans="1:17" x14ac:dyDescent="0.2">
      <c r="A17" s="5">
        <v>12</v>
      </c>
      <c r="B17" s="18" t="str">
        <v>Tagir Ulanbekov</v>
      </c>
      <c r="C17" s="34" t="str">
        <v/>
      </c>
      <c r="D17" s="18" t="str">
        <v>Rob Font</v>
      </c>
      <c r="E17" s="34" t="str">
        <v>-1</v>
      </c>
      <c r="F17" s="18" t="str">
        <v>Patricio Pitbull</v>
      </c>
      <c r="G17" s="34" t="str">
        <v/>
      </c>
      <c r="H17" s="10" t="str">
        <v>Michael Chandler</v>
      </c>
      <c r="I17" s="34" t="str">
        <v/>
      </c>
    </row>
    <row r="18" spans="1:17" x14ac:dyDescent="0.2">
      <c r="A18" s="5">
        <v>13</v>
      </c>
      <c r="B18" s="18" t="str">
        <v>Charles Johnson</v>
      </c>
      <c r="C18" s="34" t="str">
        <v/>
      </c>
      <c r="D18" s="18" t="str">
        <v>Vinicius Oliveira</v>
      </c>
      <c r="E18" s="34" t="str">
        <v>-1</v>
      </c>
      <c r="F18" s="18" t="str">
        <v>Kevin Vallejos</v>
      </c>
      <c r="G18" s="34" t="str">
        <v>NR</v>
      </c>
      <c r="H18" s="10" t="str">
        <v>Manuel Torres</v>
      </c>
      <c r="I18" s="34" t="str">
        <v/>
      </c>
    </row>
    <row r="19" spans="1:17" x14ac:dyDescent="0.2">
      <c r="A19" s="5">
        <v>14</v>
      </c>
      <c r="B19" s="18" t="str">
        <v>Bruno Silva</v>
      </c>
      <c r="C19" s="34" t="str">
        <v/>
      </c>
      <c r="D19" s="18" t="str">
        <v>Kyler Phillips</v>
      </c>
      <c r="E19" s="34" t="str">
        <v/>
      </c>
      <c r="F19" s="18" t="str">
        <v>Dan Ige</v>
      </c>
      <c r="G19" s="34" t="str">
        <v>-1</v>
      </c>
      <c r="H19" s="10" t="str">
        <v>Mauricio Ruffy</v>
      </c>
      <c r="I19" s="34" t="str">
        <v/>
      </c>
    </row>
    <row r="20" spans="1:17" ht="17" thickBot="1" x14ac:dyDescent="0.25">
      <c r="A20" s="5">
        <v>15</v>
      </c>
      <c r="B20" s="19" t="str">
        <v>Lone’er Kavanagh</v>
      </c>
      <c r="C20" s="35" t="str">
        <v/>
      </c>
      <c r="D20" s="19" t="str">
        <v>Montel Jackson</v>
      </c>
      <c r="E20" s="35" t="str">
        <v>NR</v>
      </c>
      <c r="F20" s="19" t="str">
        <v>David Onama</v>
      </c>
      <c r="G20" s="35" t="str">
        <v>-1</v>
      </c>
      <c r="H20" s="21" t="str">
        <v>Farès Ziam</v>
      </c>
      <c r="I20" s="35" t="str">
        <v/>
      </c>
    </row>
    <row r="21" spans="1:17" hidden="1" x14ac:dyDescent="0.2">
      <c r="B21" s="3" t="s">
        <v>42</v>
      </c>
      <c r="D21" s="3" t="s">
        <v>73</v>
      </c>
      <c r="F21" s="3" t="s">
        <v>103</v>
      </c>
      <c r="H21" s="3" t="s">
        <v>134</v>
      </c>
    </row>
    <row r="22" spans="1:17" ht="17" thickTop="1" x14ac:dyDescent="0.2"/>
    <row r="23" spans="1:17" ht="17" thickBot="1" x14ac:dyDescent="0.25"/>
    <row r="24" spans="1:17" ht="18" thickTop="1" thickBot="1" x14ac:dyDescent="0.25">
      <c r="B24" s="30" t="s">
        <v>384</v>
      </c>
      <c r="C24" s="29"/>
      <c r="D24" s="30" t="s">
        <v>385</v>
      </c>
      <c r="E24" s="29"/>
      <c r="F24" s="30" t="s">
        <v>386</v>
      </c>
      <c r="G24" s="29"/>
      <c r="H24" s="31" t="s">
        <v>387</v>
      </c>
      <c r="I24" s="39"/>
    </row>
    <row r="25" spans="1:17" ht="17" thickTop="1" x14ac:dyDescent="0.2">
      <c r="A25" s="6" t="s">
        <v>379</v>
      </c>
      <c r="B25" s="64" t="str" cm="1">
        <f t="array" ref="B25">_xlfn.LET(
  _xlpm.u, $B$2,
  _xlpm.div, B$41,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Islam Makhachev</v>
      </c>
      <c r="C25" s="65"/>
      <c r="D25" s="64" t="str" cm="1">
        <f t="array" ref="D25">_xlfn.LET(
  _xlpm.u, $B$2,
  _xlpm.div, D$41,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Khamzat Chimaev</v>
      </c>
      <c r="E25" s="65"/>
      <c r="F25" s="64" t="str" cm="1">
        <f t="array" ref="F25">_xlfn.LET(
  _xlpm.u, $B$2,
  _xlpm.div, F$41,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Alex Pereira</v>
      </c>
      <c r="G25" s="65"/>
      <c r="H25" s="54" t="str" cm="1">
        <f t="array" ref="H25">_xlfn.LET(
  _xlpm.u, $B$2,
  _xlpm.div, H$41,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Tom Aspinall</v>
      </c>
      <c r="I25" s="55"/>
    </row>
    <row r="26" spans="1:17" x14ac:dyDescent="0.2">
      <c r="A26" s="5">
        <v>1</v>
      </c>
      <c r="B26" s="18" t="str" cm="1">
        <f t="array" ref="B26:B40">_xlfn.LET(
  _xlpm.u, $B$2,
  _xlpm.div, B$41,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Jack Della Maddalena</v>
      </c>
      <c r="C26" s="34" t="str" cm="1">
        <f t="array" ref="C26:C40">_xlfn.LET(
  _xlpm.u, $B$2,
  _xlpm.div, B$41,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26" s="18" t="str" cm="1">
        <f t="array" ref="D26:D40">_xlfn.LET(
  _xlpm.u, $B$2,
  _xlpm.div, D$41,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Dricus Du Plessis</v>
      </c>
      <c r="E26" s="34" t="str" cm="1">
        <f t="array" ref="E26:E40">_xlfn.LET(
  _xlpm.u, $B$2,
  _xlpm.div, D$41,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26" s="18" t="str" cm="1">
        <f t="array" ref="F26:F40">_xlfn.LET(
  _xlpm.u, $B$2,
  _xlpm.div, F$41,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Magomed Ankalaev</v>
      </c>
      <c r="G26" s="34" t="str" cm="1">
        <f t="array" ref="G26:G40">_xlfn.LET(
  _xlpm.u, $B$2,
  _xlpm.div, F$41,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H26" s="10" t="str" cm="1">
        <f t="array" ref="H26:H40">_xlfn.LET(
  _xlpm.u, $B$2,
  _xlpm.div, H$41,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Ciryl Gane</v>
      </c>
      <c r="I26" s="34" t="str" cm="1">
        <f t="array" ref="I26:I40">_xlfn.LET(
  _xlpm.u, $B$2,
  _xlpm.div, H$41,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</row>
    <row r="27" spans="1:17" x14ac:dyDescent="0.2">
      <c r="A27" s="5">
        <v>2</v>
      </c>
      <c r="B27" s="18" t="str">
        <v>Shavkat Rakhmonov</v>
      </c>
      <c r="C27" s="34" t="str">
        <v>+1</v>
      </c>
      <c r="D27" s="18" t="str">
        <v>Nassourdine Imavov</v>
      </c>
      <c r="E27" s="34" t="str">
        <v/>
      </c>
      <c r="F27" s="18" t="str">
        <v>Jiří Procházka</v>
      </c>
      <c r="G27" s="34" t="str">
        <v/>
      </c>
      <c r="H27" s="10" t="str">
        <v>Alexander Volkov</v>
      </c>
      <c r="I27" s="34" t="str">
        <v/>
      </c>
    </row>
    <row r="28" spans="1:17" x14ac:dyDescent="0.2">
      <c r="A28" s="5">
        <v>3</v>
      </c>
      <c r="B28" s="18" t="str">
        <v>Ian Machado Garry</v>
      </c>
      <c r="C28" s="34" t="str">
        <v>-1</v>
      </c>
      <c r="D28" s="18" t="str">
        <v>Sean Strickland</v>
      </c>
      <c r="E28" s="34" t="str">
        <v/>
      </c>
      <c r="F28" s="18" t="str">
        <v>Carlos Ulberg</v>
      </c>
      <c r="G28" s="34" t="str">
        <v/>
      </c>
      <c r="H28" s="10" t="str">
        <v>Sergei Pavlovich</v>
      </c>
      <c r="I28" s="34" t="str">
        <v/>
      </c>
    </row>
    <row r="29" spans="1:17" x14ac:dyDescent="0.2">
      <c r="A29" s="5">
        <v>4</v>
      </c>
      <c r="B29" s="18" t="str">
        <v>Michael Morales</v>
      </c>
      <c r="C29" s="34" t="str">
        <v/>
      </c>
      <c r="D29" s="18" t="str">
        <v>Anthony Hernandez</v>
      </c>
      <c r="E29" s="34" t="str">
        <v/>
      </c>
      <c r="F29" s="18" t="str">
        <v>Khalil Rountree Jr.</v>
      </c>
      <c r="G29" s="34" t="str">
        <v/>
      </c>
      <c r="H29" s="10" t="str">
        <v>Curtis Blaydes</v>
      </c>
      <c r="I29" s="34" t="str">
        <v/>
      </c>
      <c r="Q29" s="22"/>
    </row>
    <row r="30" spans="1:17" x14ac:dyDescent="0.2">
      <c r="A30" s="5">
        <v>5</v>
      </c>
      <c r="B30" s="18" t="str">
        <v>Belal Muhammad</v>
      </c>
      <c r="C30" s="34" t="str">
        <v/>
      </c>
      <c r="D30" s="18" t="str">
        <v>Brendan Allen</v>
      </c>
      <c r="E30" s="34" t="str">
        <v/>
      </c>
      <c r="F30" s="18" t="str">
        <v>Jan Błachowicz</v>
      </c>
      <c r="G30" s="34" t="str">
        <v/>
      </c>
      <c r="H30" s="10" t="str">
        <v>Waldo Cortes Acosta</v>
      </c>
      <c r="I30" s="34" t="str">
        <v/>
      </c>
    </row>
    <row r="31" spans="1:17" x14ac:dyDescent="0.2">
      <c r="A31" s="5">
        <v>6</v>
      </c>
      <c r="B31" s="18" t="str">
        <v>Carlos Prates</v>
      </c>
      <c r="C31" s="34" t="str">
        <v/>
      </c>
      <c r="D31" s="18" t="str">
        <v>Israel Adesanya</v>
      </c>
      <c r="E31" s="34" t="str">
        <v/>
      </c>
      <c r="F31" s="18" t="str">
        <v>Azamat Murzakanov</v>
      </c>
      <c r="G31" s="34" t="str">
        <v/>
      </c>
      <c r="H31" s="10" t="str">
        <v>Jailton Almeida</v>
      </c>
      <c r="I31" s="34" t="str">
        <v/>
      </c>
    </row>
    <row r="32" spans="1:17" x14ac:dyDescent="0.2">
      <c r="A32" s="5">
        <v>7</v>
      </c>
      <c r="B32" s="18" t="str">
        <v>Sean Brady</v>
      </c>
      <c r="C32" s="34" t="str">
        <v/>
      </c>
      <c r="D32" s="18" t="str">
        <v>Caio Borralho</v>
      </c>
      <c r="E32" s="34" t="str">
        <v/>
      </c>
      <c r="F32" s="18" t="str">
        <v>Jamahal Hill</v>
      </c>
      <c r="G32" s="34" t="str">
        <v/>
      </c>
      <c r="H32" s="10" t="str">
        <v>Serghei Spivac</v>
      </c>
      <c r="I32" s="34" t="str">
        <v/>
      </c>
    </row>
    <row r="33" spans="1:9" x14ac:dyDescent="0.2">
      <c r="A33" s="5">
        <v>8</v>
      </c>
      <c r="B33" s="18" t="str">
        <v>Kamaru Usman</v>
      </c>
      <c r="C33" s="34" t="str">
        <v/>
      </c>
      <c r="D33" s="18" t="str">
        <v>Reinier de Ridder</v>
      </c>
      <c r="E33" s="34" t="str">
        <v/>
      </c>
      <c r="F33" s="18" t="str">
        <v>Volkan Oezdemir</v>
      </c>
      <c r="G33" s="34" t="str">
        <v/>
      </c>
      <c r="H33" s="10" t="str">
        <v>Derrick Lewis</v>
      </c>
      <c r="I33" s="34" t="str">
        <v/>
      </c>
    </row>
    <row r="34" spans="1:9" x14ac:dyDescent="0.2">
      <c r="A34" s="5">
        <v>9</v>
      </c>
      <c r="B34" s="18" t="str">
        <v>Leon Edwards</v>
      </c>
      <c r="C34" s="34" t="str">
        <v/>
      </c>
      <c r="D34" s="18" t="str">
        <v>Robert Whittaker</v>
      </c>
      <c r="E34" s="34" t="str">
        <v/>
      </c>
      <c r="F34" s="18" t="str">
        <v>Dominick Reyes</v>
      </c>
      <c r="G34" s="34" t="str">
        <v/>
      </c>
      <c r="H34" s="10" t="str">
        <v>Ante Delija</v>
      </c>
      <c r="I34" s="34" t="str">
        <v/>
      </c>
    </row>
    <row r="35" spans="1:9" x14ac:dyDescent="0.2">
      <c r="A35" s="5">
        <v>10</v>
      </c>
      <c r="B35" s="18" t="str">
        <v>Joaquin Buckley</v>
      </c>
      <c r="C35" s="34" t="str">
        <v/>
      </c>
      <c r="D35" s="18" t="str">
        <v>Michael Page</v>
      </c>
      <c r="E35" s="34" t="str">
        <v/>
      </c>
      <c r="F35" s="18" t="str">
        <v>Bogdan Guskov</v>
      </c>
      <c r="G35" s="34" t="str">
        <v/>
      </c>
      <c r="H35" s="10" t="str">
        <v>Marcin Tybura</v>
      </c>
      <c r="I35" s="34" t="str">
        <v/>
      </c>
    </row>
    <row r="36" spans="1:9" x14ac:dyDescent="0.2">
      <c r="A36" s="5">
        <v>11</v>
      </c>
      <c r="B36" s="18" t="str">
        <v>Gabriel Bonfim</v>
      </c>
      <c r="C36" s="34" t="str">
        <v/>
      </c>
      <c r="D36" s="18" t="str">
        <v>Jared Cannonier</v>
      </c>
      <c r="E36" s="34" t="str">
        <v/>
      </c>
      <c r="F36" s="18" t="str">
        <v>Aleksandar Rakić</v>
      </c>
      <c r="G36" s="34" t="str">
        <v/>
      </c>
      <c r="H36" s="10" t="str">
        <v>Shamil Gaziev</v>
      </c>
      <c r="I36" s="34" t="str">
        <v/>
      </c>
    </row>
    <row r="37" spans="1:9" x14ac:dyDescent="0.2">
      <c r="A37" s="5">
        <v>12</v>
      </c>
      <c r="B37" s="18" t="str">
        <v>Gilbert Burns</v>
      </c>
      <c r="C37" s="34" t="str">
        <v/>
      </c>
      <c r="D37" s="18" t="str">
        <v>Roman Dolidze</v>
      </c>
      <c r="E37" s="34" t="str">
        <v/>
      </c>
      <c r="F37" s="18" t="str">
        <v>Johnny Walker</v>
      </c>
      <c r="G37" s="34" t="str">
        <v/>
      </c>
      <c r="H37" s="10" t="str">
        <v>Tai Tuivasa</v>
      </c>
      <c r="I37" s="34" t="str">
        <v/>
      </c>
    </row>
    <row r="38" spans="1:9" x14ac:dyDescent="0.2">
      <c r="A38" s="5">
        <v>13</v>
      </c>
      <c r="B38" s="18" t="str">
        <v>Geoff Neal</v>
      </c>
      <c r="C38" s="34" t="str">
        <v>+1</v>
      </c>
      <c r="D38" s="18" t="str">
        <v>Paulo Costa</v>
      </c>
      <c r="E38" s="34" t="str">
        <v/>
      </c>
      <c r="F38" s="18" t="str">
        <v>Nikita Krylov</v>
      </c>
      <c r="G38" s="34" t="str">
        <v/>
      </c>
      <c r="H38" s="10" t="str">
        <v>Mick Parkin</v>
      </c>
      <c r="I38" s="34" t="str">
        <v/>
      </c>
    </row>
    <row r="39" spans="1:9" x14ac:dyDescent="0.2">
      <c r="A39" s="5">
        <v>14</v>
      </c>
      <c r="B39" s="18" t="str">
        <v>Colby Covington</v>
      </c>
      <c r="C39" s="34" t="str">
        <v>-1</v>
      </c>
      <c r="D39" s="18" t="str">
        <v>Gregory Rodrigues</v>
      </c>
      <c r="E39" s="34" t="str">
        <v/>
      </c>
      <c r="F39" s="18" t="str">
        <v>Zhang Mingyang</v>
      </c>
      <c r="G39" s="34" t="str">
        <v/>
      </c>
      <c r="H39" s="10" t="str">
        <v>Valter Walker</v>
      </c>
      <c r="I39" s="34" t="str">
        <v/>
      </c>
    </row>
    <row r="40" spans="1:9" ht="17" thickBot="1" x14ac:dyDescent="0.25">
      <c r="A40" s="5">
        <v>15</v>
      </c>
      <c r="B40" s="19" t="str">
        <v>Daniel Rodriguez</v>
      </c>
      <c r="C40" s="35" t="str">
        <v/>
      </c>
      <c r="D40" s="19" t="str">
        <v>Joe Pyfer</v>
      </c>
      <c r="E40" s="35" t="str">
        <v/>
      </c>
      <c r="F40" s="19" t="str">
        <v>Alonzo Menifield</v>
      </c>
      <c r="G40" s="35" t="str">
        <v/>
      </c>
      <c r="H40" s="21" t="str">
        <v>Tallison Teixeira</v>
      </c>
      <c r="I40" s="35" t="str">
        <v/>
      </c>
    </row>
    <row r="41" spans="1:9" hidden="1" x14ac:dyDescent="0.2">
      <c r="B41" s="3" t="s">
        <v>161</v>
      </c>
      <c r="D41" s="3" t="s">
        <v>190</v>
      </c>
      <c r="F41" s="3" t="s">
        <v>219</v>
      </c>
      <c r="H41" s="3" t="s">
        <v>248</v>
      </c>
    </row>
    <row r="42" spans="1:9" ht="17" thickTop="1" x14ac:dyDescent="0.2"/>
  </sheetData>
  <mergeCells count="18">
    <mergeCell ref="B25:C25"/>
    <mergeCell ref="D25:E25"/>
    <mergeCell ref="F25:G25"/>
    <mergeCell ref="H25:I25"/>
    <mergeCell ref="B24:C24"/>
    <mergeCell ref="D24:E24"/>
    <mergeCell ref="F24:G24"/>
    <mergeCell ref="H24:I24"/>
    <mergeCell ref="B5:C5"/>
    <mergeCell ref="D5:E5"/>
    <mergeCell ref="F5:G5"/>
    <mergeCell ref="H5:I5"/>
    <mergeCell ref="A3:I3"/>
    <mergeCell ref="A1:I1"/>
    <mergeCell ref="B4:C4"/>
    <mergeCell ref="D4:E4"/>
    <mergeCell ref="F4:G4"/>
    <mergeCell ref="H4:I4"/>
  </mergeCells>
  <pageMargins left="0.5" right="0.5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F20D-F476-0744-86A3-833C1F5FCB62}">
  <sheetPr>
    <pageSetUpPr fitToPage="1"/>
  </sheetPr>
  <dimension ref="A1:Q42"/>
  <sheetViews>
    <sheetView tabSelected="1" workbookViewId="0">
      <selection activeCell="K45" sqref="K45"/>
    </sheetView>
  </sheetViews>
  <sheetFormatPr baseColWidth="10" defaultRowHeight="16" x14ac:dyDescent="0.2"/>
  <cols>
    <col min="1" max="1" width="2.83203125" customWidth="1"/>
    <col min="2" max="2" width="21" style="3" customWidth="1"/>
    <col min="3" max="3" width="2.83203125" style="33" customWidth="1"/>
    <col min="4" max="4" width="21" style="3" customWidth="1"/>
    <col min="5" max="5" width="2.83203125" style="33" customWidth="1"/>
    <col min="6" max="6" width="20.6640625" style="3" customWidth="1"/>
    <col min="7" max="7" width="2.83203125" customWidth="1"/>
  </cols>
  <sheetData>
    <row r="1" spans="1:12" ht="37" customHeight="1" x14ac:dyDescent="0.3">
      <c r="B1" s="14" t="e" vm="1">
        <v>#VALUE!</v>
      </c>
      <c r="C1" s="15"/>
      <c r="D1" s="15"/>
      <c r="E1" s="15"/>
      <c r="F1" s="15"/>
      <c r="G1" s="15"/>
    </row>
    <row r="2" spans="1:12" hidden="1" x14ac:dyDescent="0.2">
      <c r="B2" s="23">
        <f>MAX(raw_history!B:B)</f>
        <v>46007</v>
      </c>
    </row>
    <row r="3" spans="1:12" ht="31" customHeight="1" thickBot="1" x14ac:dyDescent="0.25">
      <c r="B3" s="26" t="str">
        <f>"Women's Rankings (" &amp; TEXT($B$2,"m/d/yy") &amp; ")"</f>
        <v>Women's Rankings (12/16/25)</v>
      </c>
      <c r="C3" s="28"/>
      <c r="D3" s="28"/>
      <c r="E3" s="28"/>
      <c r="F3" s="28"/>
      <c r="G3" s="28"/>
    </row>
    <row r="4" spans="1:12" ht="18" thickTop="1" thickBot="1" x14ac:dyDescent="0.25">
      <c r="A4" s="25"/>
      <c r="B4" s="40" t="s">
        <v>388</v>
      </c>
      <c r="C4" s="44"/>
      <c r="D4" s="40" t="s">
        <v>380</v>
      </c>
      <c r="E4" s="44"/>
      <c r="F4" s="40" t="s">
        <v>381</v>
      </c>
      <c r="G4" s="44"/>
      <c r="H4" s="22"/>
      <c r="I4" s="22"/>
    </row>
    <row r="5" spans="1:12" x14ac:dyDescent="0.2">
      <c r="A5" s="45" t="s">
        <v>379</v>
      </c>
      <c r="B5" s="54" t="str" cm="1">
        <f t="array" ref="B5">_xlfn.LET(
  _xlpm.u, $B$2,
  _xlpm.div, B$21,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Mackenzie Dern</v>
      </c>
      <c r="C5" s="55"/>
      <c r="D5" s="56" t="str" cm="1">
        <f t="array" ref="D5">_xlfn.LET(
  _xlpm.u, $B$2,
  _xlpm.div, D$21,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Valentina Shevchenko</v>
      </c>
      <c r="E5" s="55"/>
      <c r="F5" s="54" t="str" cm="1">
        <f t="array" ref="F5">_xlfn.LET(
  _xlpm.u, $B$2,
  _xlpm.div, F$21,
  _xlpm.hdr, raw_history!$1:$1,
  _xlpm.col_div, MATCH("division", _xlpm.hdr, 0),
  _xlpm.col_upd, MATCH("ufc_last_updated", _xlpm.hdr, 0),
  _xlpm.col_champ, MATCH("champion", _xlpm.hdr, 0),
  _xlpm.div_rng, INDEX(raw_history!$A:$H, 0, _xlpm.col_div),
  _xlpm.upd_rng, INDEX(raw_history!$A:$H, 0, _xlpm.col_upd),
  _xlpm.champ_rng, INDEX(raw_history!$A:$H, 0, _xlpm.col_champ),
  INDEX(
    _xlfn._xlws.FILTER(_xlpm.champ_rng, (_xlpm.div_rng=_xlpm.div)*(_xlpm.upd_rng=_xlpm.u)),
  1)
)</f>
        <v>Kayla Harrison</v>
      </c>
      <c r="G5" s="55"/>
      <c r="H5" s="41"/>
      <c r="I5" s="4"/>
    </row>
    <row r="6" spans="1:12" x14ac:dyDescent="0.2">
      <c r="A6" s="46">
        <v>1</v>
      </c>
      <c r="B6" s="10" t="str" cm="1">
        <f t="array" ref="B6:B20">_xlfn.LET(
  _xlpm.u, $B$2,
  _xlpm.div, B$21,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Zhang Weili</v>
      </c>
      <c r="C6" s="34" t="str" cm="1">
        <f t="array" ref="C6:C20">_xlfn.LET(
  _xlpm.u, $B$2,
  _xlpm.div, B$21,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6" s="10" t="str" cm="1">
        <f t="array" ref="D6:D20">_xlfn.LET(
  _xlpm.u, $B$2,
  _xlpm.div, D$21,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Manon Fiorot</v>
      </c>
      <c r="E6" s="34" t="str" cm="1">
        <f t="array" ref="E6:E20">_xlfn.LET(
  _xlpm.u, $B$2,
  _xlpm.div, D$21,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6" s="10" t="str" cm="1">
        <f t="array" ref="F6:F20">_xlfn.LET(
  _xlpm.u, $B$2,
  _xlpm.div, F$21,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Julianna Peña</v>
      </c>
      <c r="G6" s="12" t="str" cm="1">
        <f t="array" ref="G6:G20">_xlfn.LET(
  _xlpm.u, $B$2,
  _xlpm.div, F$21,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H6" s="22"/>
      <c r="I6" s="22"/>
    </row>
    <row r="7" spans="1:12" x14ac:dyDescent="0.2">
      <c r="A7" s="46">
        <v>2</v>
      </c>
      <c r="B7" s="10" t="str">
        <v>Tatiana Suarez</v>
      </c>
      <c r="C7" s="34" t="str">
        <v/>
      </c>
      <c r="D7" s="10" t="str">
        <v>Natalia Silva</v>
      </c>
      <c r="E7" s="34" t="str">
        <v/>
      </c>
      <c r="F7" s="10" t="str">
        <v>Raquel Pennington</v>
      </c>
      <c r="G7" s="12" t="str">
        <v/>
      </c>
      <c r="H7" s="22"/>
      <c r="I7" s="22"/>
    </row>
    <row r="8" spans="1:12" x14ac:dyDescent="0.2">
      <c r="A8" s="46">
        <v>3</v>
      </c>
      <c r="B8" s="10" t="str">
        <v>Virna Jandiroba</v>
      </c>
      <c r="C8" s="34" t="str">
        <v/>
      </c>
      <c r="D8" s="10" t="str">
        <v>Erin Blanchfield</v>
      </c>
      <c r="E8" s="34" t="str">
        <v>+1</v>
      </c>
      <c r="F8" s="10" t="str">
        <v>Norma Dumont</v>
      </c>
      <c r="G8" s="12" t="str">
        <v/>
      </c>
      <c r="H8" s="22"/>
      <c r="I8" s="22"/>
    </row>
    <row r="9" spans="1:12" x14ac:dyDescent="0.2">
      <c r="A9" s="47">
        <v>4</v>
      </c>
      <c r="B9" s="10" t="str">
        <v>Yan Xiaonan</v>
      </c>
      <c r="C9" s="34" t="str">
        <v/>
      </c>
      <c r="D9" s="10" t="str">
        <v>Alexa Grasso</v>
      </c>
      <c r="E9" s="34" t="str">
        <v/>
      </c>
      <c r="F9" s="10" t="str">
        <v>Ketlen Vieira</v>
      </c>
      <c r="G9" s="12" t="str">
        <v/>
      </c>
      <c r="H9" s="22"/>
      <c r="I9" s="22"/>
    </row>
    <row r="10" spans="1:12" x14ac:dyDescent="0.2">
      <c r="A10" s="47">
        <v>5</v>
      </c>
      <c r="B10" s="10" t="str">
        <v>Amanda Lemos</v>
      </c>
      <c r="C10" s="34" t="str">
        <v/>
      </c>
      <c r="D10" s="10" t="str">
        <v>Maycee Barber</v>
      </c>
      <c r="E10" s="34" t="str">
        <v/>
      </c>
      <c r="F10" s="10" t="str">
        <v>Yana Santos</v>
      </c>
      <c r="G10" s="12" t="str">
        <v/>
      </c>
      <c r="H10" s="22"/>
      <c r="I10" s="22"/>
    </row>
    <row r="11" spans="1:12" x14ac:dyDescent="0.2">
      <c r="A11" s="47">
        <v>6</v>
      </c>
      <c r="B11" s="10" t="str">
        <v>Loopy Godinez</v>
      </c>
      <c r="C11" s="34" t="str">
        <v/>
      </c>
      <c r="D11" s="10" t="str">
        <v>Rose Namajunas</v>
      </c>
      <c r="E11" s="34" t="str">
        <v/>
      </c>
      <c r="F11" s="10" t="str">
        <v>Irene Aldana</v>
      </c>
      <c r="G11" s="12" t="str">
        <v/>
      </c>
      <c r="H11" s="22"/>
      <c r="I11" s="22"/>
    </row>
    <row r="12" spans="1:12" x14ac:dyDescent="0.2">
      <c r="A12" s="47">
        <v>7</v>
      </c>
      <c r="B12" s="10" t="str">
        <v>Iasmin Lucindo</v>
      </c>
      <c r="C12" s="34" t="str">
        <v/>
      </c>
      <c r="D12" s="10" t="str">
        <v>Jasmine Jasudavicius</v>
      </c>
      <c r="E12" s="34" t="str">
        <v/>
      </c>
      <c r="F12" s="10" t="str">
        <v>Macy Chiasson</v>
      </c>
      <c r="G12" s="12" t="str">
        <v/>
      </c>
      <c r="H12" s="22"/>
      <c r="I12" s="22"/>
    </row>
    <row r="13" spans="1:12" x14ac:dyDescent="0.2">
      <c r="A13" s="47">
        <v>8</v>
      </c>
      <c r="B13" s="10" t="str">
        <v>Tabatha Ricci</v>
      </c>
      <c r="C13" s="34" t="str">
        <v/>
      </c>
      <c r="D13" s="10" t="str">
        <v>Tracy Cortez</v>
      </c>
      <c r="E13" s="34" t="str">
        <v/>
      </c>
      <c r="F13" s="10" t="str">
        <v>Ailin Perez</v>
      </c>
      <c r="G13" s="12" t="str">
        <v/>
      </c>
      <c r="H13" s="22"/>
      <c r="I13" s="22"/>
    </row>
    <row r="14" spans="1:12" x14ac:dyDescent="0.2">
      <c r="A14" s="47">
        <v>9</v>
      </c>
      <c r="B14" s="10" t="str">
        <v>Jéssica Andrade</v>
      </c>
      <c r="C14" s="34" t="str">
        <v/>
      </c>
      <c r="D14" s="10" t="str">
        <v>Karine Silva</v>
      </c>
      <c r="E14" s="34" t="str">
        <v/>
      </c>
      <c r="F14" s="10" t="str">
        <v>Karol Rosa</v>
      </c>
      <c r="G14" s="12" t="str">
        <v/>
      </c>
      <c r="H14" s="22"/>
      <c r="I14" s="22"/>
      <c r="J14" s="22"/>
      <c r="K14" s="22"/>
      <c r="L14" s="22"/>
    </row>
    <row r="15" spans="1:12" x14ac:dyDescent="0.2">
      <c r="A15" s="47">
        <v>10</v>
      </c>
      <c r="B15" s="10" t="str">
        <v>Gillian Robertson</v>
      </c>
      <c r="C15" s="34" t="str">
        <v/>
      </c>
      <c r="D15" s="10" t="str">
        <v>Miranda Maverick</v>
      </c>
      <c r="E15" s="34" t="str">
        <v>+1</v>
      </c>
      <c r="F15" s="10" t="str">
        <v>Jacqueline Cavalcanti</v>
      </c>
      <c r="G15" s="12" t="str">
        <v/>
      </c>
      <c r="H15" s="22"/>
      <c r="I15" s="22"/>
      <c r="J15" s="22"/>
      <c r="K15" s="22"/>
      <c r="L15" s="22"/>
    </row>
    <row r="16" spans="1:12" x14ac:dyDescent="0.2">
      <c r="A16" s="47">
        <v>11</v>
      </c>
      <c r="B16" s="10" t="str">
        <v>Amanda Ribas</v>
      </c>
      <c r="C16" s="34" t="str">
        <v/>
      </c>
      <c r="D16" s="10" t="str">
        <v>Casey O'Neill</v>
      </c>
      <c r="E16" s="34" t="str">
        <v/>
      </c>
      <c r="F16" s="10" t="str">
        <v>Mayra Bueno Silva</v>
      </c>
      <c r="G16" s="12" t="str">
        <v/>
      </c>
      <c r="H16" s="22"/>
      <c r="I16" s="22"/>
      <c r="J16" s="22"/>
      <c r="K16" s="22"/>
      <c r="L16" s="22"/>
    </row>
    <row r="17" spans="1:17" x14ac:dyDescent="0.2">
      <c r="A17" s="47">
        <v>12</v>
      </c>
      <c r="B17" s="10" t="str">
        <v>Fatima Kline</v>
      </c>
      <c r="C17" s="34" t="str">
        <v/>
      </c>
      <c r="D17" s="10" t="str">
        <v>Wang Cong</v>
      </c>
      <c r="E17" s="34" t="str">
        <v/>
      </c>
      <c r="F17" s="10" t="str">
        <v>Nora Cornolle</v>
      </c>
      <c r="G17" s="12" t="str">
        <v/>
      </c>
      <c r="H17" s="22"/>
      <c r="I17" s="22"/>
      <c r="J17" s="22"/>
      <c r="K17" s="22"/>
      <c r="L17" s="22"/>
    </row>
    <row r="18" spans="1:17" x14ac:dyDescent="0.2">
      <c r="A18" s="47">
        <v>13</v>
      </c>
      <c r="B18" s="10" t="str">
        <v>Denise Gomes</v>
      </c>
      <c r="C18" s="34" t="str">
        <v/>
      </c>
      <c r="D18" s="10" t="str">
        <v>Eduarda Moura</v>
      </c>
      <c r="E18" s="34" t="str">
        <v/>
      </c>
      <c r="F18" s="10" t="str">
        <v>Miesha Tate</v>
      </c>
      <c r="G18" s="12" t="str">
        <v/>
      </c>
      <c r="H18" s="22"/>
      <c r="I18" s="22"/>
      <c r="J18" s="22"/>
      <c r="K18" s="22"/>
      <c r="L18" s="22"/>
    </row>
    <row r="19" spans="1:17" x14ac:dyDescent="0.2">
      <c r="A19" s="47">
        <v>14</v>
      </c>
      <c r="B19" s="10" t="str">
        <v>Angela Hill</v>
      </c>
      <c r="C19" s="34" t="str">
        <v/>
      </c>
      <c r="D19" s="10" t="str">
        <v>JJ Aldrich</v>
      </c>
      <c r="E19" s="34" t="str">
        <v/>
      </c>
      <c r="F19" s="10" t="str">
        <v>Joselyne Edwards</v>
      </c>
      <c r="G19" s="12" t="str">
        <v/>
      </c>
      <c r="H19" s="22"/>
      <c r="I19" s="22"/>
      <c r="J19" s="22"/>
      <c r="K19" s="22"/>
      <c r="L19" s="22"/>
    </row>
    <row r="20" spans="1:17" ht="17" thickBot="1" x14ac:dyDescent="0.25">
      <c r="A20" s="47">
        <v>15</v>
      </c>
      <c r="B20" s="11" t="str">
        <v>Alexia Thainara</v>
      </c>
      <c r="C20" s="49" t="str">
        <v/>
      </c>
      <c r="D20" s="11" t="str">
        <v>Gabriella Fernandes</v>
      </c>
      <c r="E20" s="49" t="str">
        <v/>
      </c>
      <c r="F20" s="11" t="str">
        <v>Luana Santos</v>
      </c>
      <c r="G20" s="43" t="str">
        <v/>
      </c>
      <c r="H20" s="22"/>
      <c r="I20" s="22"/>
      <c r="J20" s="22"/>
      <c r="K20" s="22"/>
      <c r="L20" s="22"/>
    </row>
    <row r="21" spans="1:17" ht="17" hidden="1" thickBot="1" x14ac:dyDescent="0.25">
      <c r="A21" s="9"/>
      <c r="B21" s="10" t="s">
        <v>310</v>
      </c>
      <c r="C21" s="36"/>
      <c r="D21" s="10" t="s">
        <v>333</v>
      </c>
      <c r="E21" s="36"/>
      <c r="F21" s="10" t="s">
        <v>352</v>
      </c>
      <c r="G21" s="25"/>
      <c r="J21" s="22"/>
      <c r="K21" s="22"/>
      <c r="L21" s="22"/>
    </row>
    <row r="22" spans="1:17" ht="17" thickTop="1" x14ac:dyDescent="0.2">
      <c r="A22" s="5"/>
      <c r="B22" s="13"/>
      <c r="C22" s="48"/>
      <c r="D22" s="13"/>
      <c r="E22" s="48"/>
      <c r="F22" s="13"/>
      <c r="G22" s="24"/>
      <c r="J22" s="22"/>
      <c r="K22" s="22"/>
      <c r="L22" s="22"/>
    </row>
    <row r="23" spans="1:17" x14ac:dyDescent="0.2">
      <c r="A23" s="5"/>
      <c r="J23" s="22"/>
      <c r="K23" s="22"/>
      <c r="L23" s="22"/>
    </row>
    <row r="24" spans="1:17" ht="31" customHeight="1" thickBot="1" x14ac:dyDescent="0.25">
      <c r="A24" s="5"/>
      <c r="B24" s="26" t="s">
        <v>391</v>
      </c>
      <c r="C24" s="27"/>
      <c r="D24" s="27"/>
      <c r="E24" s="28"/>
      <c r="F24" s="10"/>
      <c r="G24" s="22"/>
      <c r="H24" s="22"/>
      <c r="I24" s="22"/>
      <c r="J24" s="22"/>
      <c r="K24" s="22"/>
      <c r="L24" s="22"/>
    </row>
    <row r="25" spans="1:17" ht="18" thickTop="1" thickBot="1" x14ac:dyDescent="0.25">
      <c r="A25" s="46"/>
      <c r="B25" s="52" t="s">
        <v>389</v>
      </c>
      <c r="C25" s="53"/>
      <c r="D25" s="52" t="s">
        <v>390</v>
      </c>
      <c r="E25" s="53"/>
      <c r="F25" s="42"/>
      <c r="G25" s="4"/>
      <c r="H25" s="41"/>
      <c r="I25" s="4"/>
      <c r="J25" s="22"/>
      <c r="K25" s="22"/>
      <c r="L25" s="22"/>
    </row>
    <row r="26" spans="1:17" ht="17" thickTop="1" x14ac:dyDescent="0.2">
      <c r="A26" s="46">
        <v>1</v>
      </c>
      <c r="B26" s="10" t="str" cm="1">
        <f t="array" ref="B26:B40">_xlfn.LET(
  _xlpm.u, $B$2,
  _xlpm.div, B$41,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Islam Makhachev</v>
      </c>
      <c r="C26" s="50" t="str" cm="1">
        <f t="array" ref="C26:C40">_xlfn.LET(
  _xlpm.u, $B$2,
  _xlpm.div, B$41,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D26" s="8" t="str" cm="1">
        <f t="array" ref="D26:D40">_xlfn.LET(
  _xlpm.u, $B$2,
  _xlpm.div, D$41,
  _xlpm.hdr, raw_history!$1:$1,
  _xlpm.col_div, MATCH("division", _xlpm.hdr, 0),
  _xlpm.col_upd, MATCH("ufc_last_updated", _xlpm.hdr, 0),
  _xlpm.col_rank, MATCH("rank", _xlpm.hdr, 0),
  _xlpm.col_fighter, MATCH("fighter", _xlpm.hdr, 0),
  _xlpm.div_rng, INDEX(raw_history!$A:$H, 0, _xlpm.col_div),
  _xlpm.upd_rng, INDEX(raw_history!$A:$H, 0, _xlpm.col_upd),
  _xlpm.rank_rng, INDEX(raw_history!$A:$H, 0, _xlpm.col_rank),
  _xlpm.fighter_rng, INDEX(raw_history!$A:$H, 0, _xlpm.col_fighter),
  _xlfn._xlws.FILTER(_xlpm.fighter_rng, (_xlpm.div_rng=_xlpm.div)*(_xlpm.upd_rng=_xlpm.u)*(_xlpm.rank_rng&gt;=1)*(_xlpm.rank_rng&lt;=15))
)</f>
        <v>Valentina Shevchenko</v>
      </c>
      <c r="E26" s="37" t="str" cm="1">
        <f t="array" ref="E26:E40">_xlfn.LET(
  _xlpm.u, $B$2,
  _xlpm.div, D$41,
  _xlpm.hdr, raw_history!$1:$1,
  _xlpm.col_div, MATCH("division", _xlpm.hdr, 0),
  _xlpm.col_upd, MATCH("ufc_last_updated", _xlpm.hdr, 0),
  _xlpm.col_rank, MATCH("rank", _xlpm.hdr, 0),
  _xlpm.col_rc, MATCH("rank_change", _xlpm.hdr, 0),
  _xlpm.div_rng, INDEX(raw_history!$A:$H, 0, _xlpm.col_div),
  _xlpm.upd_rng, INDEX(raw_history!$A:$H, 0, _xlpm.col_upd),
  _xlpm.rank_rng, INDEX(raw_history!$A:$H, 0, _xlpm.col_rank),
  _xlpm.rc_rng, INDEX(raw_history!$A:$H, 0, _xlpm.col_rc),
  _xlfn._xlws.FILTER(_xlpm.rc_rng, (_xlpm.div_rng=_xlpm.div)*(_xlpm.upd_rng=_xlpm.u)*(_xlpm.rank_rng&gt;=1)*(_xlpm.rank_rng&lt;=15))
)</f>
        <v/>
      </c>
      <c r="F26" s="10"/>
      <c r="G26" s="22"/>
      <c r="H26" s="22"/>
      <c r="I26" s="22"/>
      <c r="J26" s="22"/>
      <c r="K26" s="22"/>
      <c r="L26" s="22"/>
    </row>
    <row r="27" spans="1:17" x14ac:dyDescent="0.2">
      <c r="A27" s="46">
        <v>2</v>
      </c>
      <c r="B27" s="10" t="str">
        <v>Ilia Topuria</v>
      </c>
      <c r="C27" s="50" t="str">
        <v/>
      </c>
      <c r="D27" s="8" t="str">
        <v>Kayla Harrison</v>
      </c>
      <c r="E27" s="37" t="str">
        <v/>
      </c>
      <c r="F27" s="10"/>
      <c r="G27" s="22"/>
      <c r="H27" s="22"/>
      <c r="I27" s="22"/>
      <c r="J27" s="22"/>
      <c r="K27" s="22"/>
      <c r="L27" s="22"/>
    </row>
    <row r="28" spans="1:17" x14ac:dyDescent="0.2">
      <c r="A28" s="46">
        <v>3</v>
      </c>
      <c r="B28" s="10" t="str">
        <v>Khamzat Chimaev</v>
      </c>
      <c r="C28" s="50" t="str">
        <v/>
      </c>
      <c r="D28" s="8" t="str">
        <v>Zhang Weili</v>
      </c>
      <c r="E28" s="37" t="str">
        <v/>
      </c>
      <c r="F28" s="10"/>
      <c r="G28" s="22"/>
      <c r="H28" s="22"/>
      <c r="I28" s="22"/>
    </row>
    <row r="29" spans="1:17" x14ac:dyDescent="0.2">
      <c r="A29" s="47">
        <v>4</v>
      </c>
      <c r="B29" s="10" t="str">
        <v>Alex Pereira</v>
      </c>
      <c r="C29" s="50" t="str">
        <v/>
      </c>
      <c r="D29" s="8" t="str">
        <v>Natalia Silva</v>
      </c>
      <c r="E29" s="37" t="str">
        <v/>
      </c>
      <c r="F29" s="10"/>
      <c r="G29" s="22"/>
      <c r="H29" s="22"/>
      <c r="I29" s="22"/>
      <c r="Q29" s="22"/>
    </row>
    <row r="30" spans="1:17" x14ac:dyDescent="0.2">
      <c r="A30" s="47">
        <v>5</v>
      </c>
      <c r="B30" s="10" t="str">
        <v>Alexander Volkanovski</v>
      </c>
      <c r="C30" s="50" t="str">
        <v/>
      </c>
      <c r="D30" s="8" t="str">
        <v>Mackenzie Dern</v>
      </c>
      <c r="E30" s="37" t="str">
        <v/>
      </c>
      <c r="F30" s="10"/>
      <c r="G30" s="22"/>
      <c r="H30" s="22"/>
      <c r="I30" s="22"/>
    </row>
    <row r="31" spans="1:17" x14ac:dyDescent="0.2">
      <c r="A31" s="47">
        <v>6</v>
      </c>
      <c r="B31" s="10" t="str">
        <v>Petr Yan</v>
      </c>
      <c r="C31" s="50" t="str">
        <v/>
      </c>
      <c r="D31" s="8" t="str">
        <v>Manon Fiorot</v>
      </c>
      <c r="E31" s="37" t="str">
        <v/>
      </c>
      <c r="F31" s="10"/>
      <c r="G31" s="22"/>
      <c r="H31" s="22"/>
      <c r="I31" s="22"/>
    </row>
    <row r="32" spans="1:17" x14ac:dyDescent="0.2">
      <c r="A32" s="47">
        <v>7</v>
      </c>
      <c r="B32" s="10" t="str">
        <v>Merab Dvalishvili</v>
      </c>
      <c r="C32" s="50" t="str">
        <v>+1</v>
      </c>
      <c r="D32" s="8" t="str">
        <v>Erin Blanchfield</v>
      </c>
      <c r="E32" s="37" t="str">
        <v/>
      </c>
      <c r="F32" s="10"/>
      <c r="G32" s="22"/>
      <c r="H32" s="22"/>
      <c r="I32" s="22"/>
    </row>
    <row r="33" spans="1:9" x14ac:dyDescent="0.2">
      <c r="A33" s="47">
        <v>8</v>
      </c>
      <c r="B33" s="10" t="str">
        <v>Tom Aspinall</v>
      </c>
      <c r="C33" s="50" t="str">
        <v>-1</v>
      </c>
      <c r="D33" s="8" t="str">
        <v>Julianna Peña</v>
      </c>
      <c r="E33" s="37" t="str">
        <v/>
      </c>
      <c r="F33" s="10"/>
      <c r="G33" s="22"/>
      <c r="H33" s="22"/>
      <c r="I33" s="22"/>
    </row>
    <row r="34" spans="1:9" x14ac:dyDescent="0.2">
      <c r="A34" s="47">
        <v>9</v>
      </c>
      <c r="B34" s="10" t="str">
        <v>Alexandre Pantoja</v>
      </c>
      <c r="C34" s="50" t="str">
        <v/>
      </c>
      <c r="D34" s="8" t="str">
        <v>Alexa Grasso</v>
      </c>
      <c r="E34" s="37" t="str">
        <v/>
      </c>
      <c r="F34" s="10"/>
      <c r="G34" s="22"/>
      <c r="H34" s="22"/>
      <c r="I34" s="22"/>
    </row>
    <row r="35" spans="1:9" x14ac:dyDescent="0.2">
      <c r="A35" s="47">
        <v>10</v>
      </c>
      <c r="B35" s="10" t="str">
        <v>Max Holloway</v>
      </c>
      <c r="C35" s="50" t="str">
        <v/>
      </c>
      <c r="D35" s="8" t="str">
        <v>Virna Jandiroba</v>
      </c>
      <c r="E35" s="37" t="str">
        <v/>
      </c>
      <c r="F35" s="10"/>
      <c r="G35" s="22"/>
      <c r="H35" s="22"/>
      <c r="I35" s="22"/>
    </row>
    <row r="36" spans="1:9" x14ac:dyDescent="0.2">
      <c r="A36" s="47">
        <v>11</v>
      </c>
      <c r="B36" s="10" t="str">
        <v>Dricus Du Plessis</v>
      </c>
      <c r="C36" s="50" t="str">
        <v>+1</v>
      </c>
      <c r="D36" s="8" t="str">
        <v>Raquel Pennington</v>
      </c>
      <c r="E36" s="37" t="str">
        <v/>
      </c>
      <c r="F36" s="10"/>
      <c r="G36" s="22"/>
      <c r="H36" s="22"/>
      <c r="I36" s="22"/>
    </row>
    <row r="37" spans="1:9" x14ac:dyDescent="0.2">
      <c r="A37" s="47">
        <v>12</v>
      </c>
      <c r="B37" s="10" t="str">
        <v>Joshua Van</v>
      </c>
      <c r="C37" s="50" t="str">
        <v>-1</v>
      </c>
      <c r="D37" s="8" t="str">
        <v>Tatiana Suarez</v>
      </c>
      <c r="E37" s="37" t="str">
        <v/>
      </c>
      <c r="F37" s="10"/>
      <c r="G37" s="22"/>
      <c r="H37" s="22"/>
      <c r="I37" s="22"/>
    </row>
    <row r="38" spans="1:9" x14ac:dyDescent="0.2">
      <c r="A38" s="47">
        <v>13</v>
      </c>
      <c r="B38" s="10" t="str">
        <v>Magomed Ankalaev</v>
      </c>
      <c r="C38" s="50" t="str">
        <v/>
      </c>
      <c r="D38" s="8" t="str">
        <v>Rose Namajunas</v>
      </c>
      <c r="E38" s="37" t="str">
        <v/>
      </c>
      <c r="F38" s="10"/>
      <c r="G38" s="22"/>
      <c r="H38" s="22"/>
      <c r="I38" s="22"/>
    </row>
    <row r="39" spans="1:9" x14ac:dyDescent="0.2">
      <c r="A39" s="47">
        <v>14</v>
      </c>
      <c r="B39" s="10" t="str">
        <v>Jack Della Maddalena</v>
      </c>
      <c r="C39" s="50" t="str">
        <v/>
      </c>
      <c r="D39" s="8" t="str">
        <v>Yan Xiaonan</v>
      </c>
      <c r="E39" s="37" t="str">
        <v/>
      </c>
      <c r="F39" s="10"/>
      <c r="G39" s="22"/>
      <c r="H39" s="22"/>
      <c r="I39" s="22"/>
    </row>
    <row r="40" spans="1:9" ht="17" thickBot="1" x14ac:dyDescent="0.25">
      <c r="A40" s="47">
        <v>15</v>
      </c>
      <c r="B40" s="21" t="str">
        <v>Arman Tsarukyan</v>
      </c>
      <c r="C40" s="51" t="str">
        <v/>
      </c>
      <c r="D40" s="20" t="str">
        <v>Maycee Barber</v>
      </c>
      <c r="E40" s="38" t="str">
        <v/>
      </c>
      <c r="F40" s="10"/>
      <c r="G40" s="22"/>
      <c r="H40" s="22"/>
      <c r="I40" s="22"/>
    </row>
    <row r="41" spans="1:9" ht="17" hidden="1" thickTop="1" x14ac:dyDescent="0.2">
      <c r="A41" s="25"/>
      <c r="B41" s="3" t="s">
        <v>8</v>
      </c>
      <c r="D41" s="3" t="s">
        <v>279</v>
      </c>
    </row>
    <row r="42" spans="1:9" ht="17" thickTop="1" x14ac:dyDescent="0.2"/>
  </sheetData>
  <mergeCells count="14">
    <mergeCell ref="B25:C25"/>
    <mergeCell ref="D25:E25"/>
    <mergeCell ref="B5:C5"/>
    <mergeCell ref="D5:E5"/>
    <mergeCell ref="F5:G5"/>
    <mergeCell ref="H5:I5"/>
    <mergeCell ref="F25:G25"/>
    <mergeCell ref="H25:I25"/>
    <mergeCell ref="B3:G3"/>
    <mergeCell ref="B24:E24"/>
    <mergeCell ref="B1:G1"/>
    <mergeCell ref="B4:C4"/>
    <mergeCell ref="D4:E4"/>
    <mergeCell ref="F4:G4"/>
  </mergeCells>
  <pageMargins left="0.5" right="0.5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602B08-798A-2343-8B8C-BC37F40864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raw_history</vt:lpstr>
      <vt:lpstr>Men_View</vt:lpstr>
      <vt:lpstr>Women_View</vt:lpstr>
      <vt:lpstr>Men_View!Print_Area</vt:lpstr>
      <vt:lpstr>Women_View!Print_Area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Garcia,Raul M</dc:creator>
  <cp:lastModifiedBy>Garcia,Raul M</cp:lastModifiedBy>
  <cp:lastPrinted>2026-01-08T04:15:52Z</cp:lastPrinted>
  <dcterms:created xsi:type="dcterms:W3CDTF">2026-01-07T00:20:08Z</dcterms:created>
  <dcterms:modified xsi:type="dcterms:W3CDTF">2026-01-08T04:18:52Z</dcterms:modified>
</cp:coreProperties>
</file>